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56508552f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plan" sheetId="1" r:id="R9a996266e05f4d27"/>
    <x:sheet xmlns:r="http://schemas.openxmlformats.org/officeDocument/2006/relationships" name="Award register" sheetId="2" r:id="R176e7f8c17fa40c5"/>
    <x:sheet xmlns:r="http://schemas.openxmlformats.org/officeDocument/2006/relationships" name="Evidence plan" sheetId="3" r:id="R09caacc37166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dd mmm yyyy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i/>
      <x:sz val="10"/>
      <x:color rgb="FF5F6B7A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i/>
      <x:sz val="9"/>
      <x:color rgb="FF17324D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i/>
      <x:sz val="9"/>
      <x:color rgb="FF5F6B7A"/>
      <x:name val="Arial"/>
    </x:font>
    <x:font>
      <x:sz val="10"/>
      <x:color rgb="FF1732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DEFEA"/>
      </x:patternFill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0F6B68"/>
      </x:patternFill>
    </x:fill>
    <x:fill>
      <x:patternFill patternType="solid">
        <x:fgColor rgb="FFFFF2CC"/>
      </x:patternFill>
    </x:fill>
    <x:fill>
      <x:patternFill patternType="solid">
        <x:fgColor rgb="FFF2F4F7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  <x:border>
      <x:left style="thin">
        <x:color rgb="FFCFD6DE"/>
      </x:left>
      <x:right/>
      <x:top style="thin">
        <x:color rgb="FFCFD6DE"/>
      </x:top>
      <x:bottom/>
      <x:diagonal/>
    </x:border>
    <x:border>
      <x:left/>
      <x:right style="thin">
        <x:color rgb="FFCFD6DE"/>
      </x:right>
      <x:top style="thin">
        <x:color rgb="FFCFD6DE"/>
      </x:top>
      <x:bottom/>
      <x:diagonal/>
    </x:border>
    <x:border>
      <x:left style="thin">
        <x:color rgb="FFCFD6DE"/>
      </x:left>
      <x:right/>
      <x:top/>
      <x:bottom style="thin">
        <x:color rgb="FFCFD6DE"/>
      </x:bottom>
      <x:diagonal/>
    </x:border>
    <x:border>
      <x:left/>
      <x:right style="thin">
        <x:color rgb="FFCFD6DE"/>
      </x:right>
      <x:top/>
      <x:bottom style="thin">
        <x:color rgb="FFCFD6D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FD6DE"/>
      </x:bottom>
      <x:diagonal/>
    </x:border>
    <x:border>
      <x:left style="thin">
        <x:color rgb="FFCFD6DE"/>
      </x:left>
      <x:right/>
      <x:top style="thin">
        <x:color rgb="FFCFD6DE"/>
      </x:top>
      <x:bottom style="thin">
        <x:color rgb="FFCFD6DE"/>
      </x:bottom>
      <x:diagonal/>
    </x:border>
    <x:border>
      <x:left/>
      <x:right/>
      <x:top style="thin">
        <x:color rgb="FFCFD6DE"/>
      </x:top>
      <x:bottom style="thin">
        <x:color rgb="FFCFD6DE"/>
      </x:bottom>
      <x:diagonal/>
    </x:border>
    <x:border>
      <x:left/>
      <x:right style="thin">
        <x:color rgb="FFCFD6DE"/>
      </x:right>
      <x:top style="thin">
        <x:color rgb="FFCFD6DE"/>
      </x:top>
      <x:bottom style="thin">
        <x:color rgb="FFCFD6DE"/>
      </x:bottom>
      <x:diagonal/>
    </x:border>
    <x:border>
      <x:left/>
      <x:right/>
      <x:top style="thin">
        <x:color rgb="FFCFD6DE"/>
      </x:top>
      <x:bottom/>
      <x:diagonal/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1" fontId="1" fillId="0" borderId="9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horizontal="center" vertical="top"/>
    </x:xf>
    <x:xf numFmtId="0" fontId="1" fillId="0" borderId="9" xfId="0" applyNumberFormat="1" applyFont="1" applyFill="1" applyBorder="1" applyAlignment="1">
      <x:alignment horizontal="center" vertical="top"/>
    </x:xf>
    <x:xf numFmtId="0" fontId="1" fillId="0" borderId="9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horizontal="center" vertical="top"/>
    </x:xf>
    <x:xf numFmtId="201" fontId="1" fillId="0" borderId="9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9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/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13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9" xfId="0" applyNumberFormat="1" applyFont="1" applyFill="1" applyBorder="1"/>
    <x:xf numFmtId="0" fontId="9" fillId="7" borderId="5" xfId="0" applyNumberFormat="1" applyFont="1" applyFill="1" applyBorder="1"/>
    <x:xf numFmtId="0" fontId="9" fillId="7" borderId="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13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9" xfId="0" applyNumberFormat="1" applyFont="1" applyFill="1" applyBorder="1"/>
    <x:xf numFmtId="0" fontId="10" fillId="2" borderId="5" xfId="0" applyNumberFormat="1" applyFont="1" applyFill="1" applyBorder="1"/>
    <x:xf numFmtId="0" fontId="10" fillId="2" borderId="2" xfId="0" applyNumberFormat="1" applyFont="1" applyFill="1" applyBorder="1" applyAlignment="1">
      <x:alignment wrapText="1"/>
    </x:xf>
    <x:xf numFmtId="0" fontId="10" fillId="2" borderId="13" xfId="0" applyNumberFormat="1" applyFont="1" applyFill="1" applyBorder="1" applyAlignment="1">
      <x:alignment wrapText="1"/>
    </x:xf>
    <x:xf numFmtId="0" fontId="10" fillId="2" borderId="3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wrapText="1"/>
    </x:xf>
    <x:xf numFmtId="0" fontId="10" fillId="2" borderId="9" xfId="0" applyNumberFormat="1" applyFont="1" applyFill="1" applyBorder="1" applyAlignment="1">
      <x:alignment wrapText="1"/>
    </x:xf>
    <x:xf numFmtId="0" fontId="10" fillId="2" borderId="5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vertical="center" wrapText="1"/>
    </x:xf>
    <x:xf numFmtId="0" fontId="10" fillId="2" borderId="9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1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/>
    </x:xf>
    <x:xf numFmtId="0" fontId="1" fillId="6" borderId="9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/>
    </x:xf>
    <x:xf numFmtId="201" fontId="1" fillId="2" borderId="0" xfId="0" applyNumberFormat="1" applyFont="1" applyFill="1" applyBorder="1" applyAlignment="1">
      <x:alignment horizontal="center" vertical="top"/>
    </x:xf>
    <x:xf numFmtId="0" fontId="1" fillId="2" borderId="9" xfId="0" applyNumberFormat="1" applyFont="1" applyFill="1" applyBorder="1" applyAlignment="1">
      <x:alignment horizontal="center" vertical="top"/>
    </x:xf>
    <x:xf numFmtId="201" fontId="1" fillId="2" borderId="9" xfId="0" applyNumberFormat="1" applyFont="1" applyFill="1" applyBorder="1" applyAlignment="1">
      <x:alignment horizontal="center" vertical="top"/>
    </x:xf>
    <x:xf numFmtId="202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2" fontId="1" fillId="6" borderId="9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4bf7986384b40" /><Relationship Type="http://schemas.openxmlformats.org/officeDocument/2006/relationships/theme" Target="/xl/theme/theme1.xml" Id="R63479d6184204a72" /><Relationship Type="http://schemas.openxmlformats.org/officeDocument/2006/relationships/sharedStrings" Target="/xl/sharedStrings.xml" Id="Rbc54bcae2aa74ba6" /><Relationship Type="http://schemas.openxmlformats.org/officeDocument/2006/relationships/worksheet" Target="/xl/worksheets/sheet1.xml" Id="R9a996266e05f4d27" /><Relationship Type="http://schemas.openxmlformats.org/officeDocument/2006/relationships/worksheet" Target="/xl/worksheets/sheet2.xml" Id="R176e7f8c17fa40c5" /><Relationship Type="http://schemas.openxmlformats.org/officeDocument/2006/relationships/worksheet" Target="/xl/worksheets/sheet3.xml" Id="R09caacc371664daf" /></Relationships>
</file>

<file path=xl/tables/table1.xml><?xml version="1.0" encoding="utf-8"?>
<x:table xmlns:x="http://schemas.openxmlformats.org/spreadsheetml/2006/main" id="1" name="AwardsRegister" displayName="AwardsRegister" ref="A4:Y23" headerRowCount="1" totalsRowCount="0" totalsRowShown="0">
  <x:tableColumns count="25">
    <x:tableColumn id="1" name="Rank"/>
    <x:tableColumn id="2" name="Recommendation"/>
    <x:tableColumn id="3" name="Eligibility status"/>
    <x:tableColumn id="4" name="Award / program"/>
    <x:tableColumn id="5" name="Best category"/>
    <x:tableColumn id="6" name="Candidate"/>
    <x:tableColumn id="7" name="Scope"/>
    <x:tableColumn id="8" name="Last confirmed close"/>
    <x:tableColumn id="9" name="Expected 2027 close / window"/>
    <x:tableColumn id="10" name="Date certainty"/>
    <x:tableColumn id="11" name="Eligibility / criteria summary"/>
    <x:tableColumn id="12" name="Requirements / evidence needed"/>
    <x:tableColumn id="13" name="Fit"/>
    <x:tableColumn id="14" name="Eligibility confidence"/>
    <x:tableColumn id="15" name="Evidence readiness"/>
    <x:tableColumn id="16" name="Winability"/>
    <x:tableColumn id="17" name="Marketing value"/>
    <x:tableColumn id="18" name="Effort"/>
    <x:tableColumn id="19" name="Priority score"/>
    <x:tableColumn id="20" name="Estimated win probability"/>
    <x:tableColumn id="21" name="Fee / membership"/>
    <x:tableColumn id="22" name="Why it fits / gap"/>
    <x:tableColumn id="23" name="Next action"/>
    <x:tableColumn id="24" name="Official source"/>
    <x:tableColumn id="25" name="Source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Plan" displayName="EvidencePlan" ref="A5:G19" headerRowCount="1" totalsRowCount="0" totalsRowShown="0">
  <x:tableColumns count="7">
    <x:tableColumn id="1" name="Evidence area"/>
    <x:tableColumn id="2" name="Deliverable"/>
    <x:tableColumn id="3" name="What to capture"/>
    <x:tableColumn id="4" name="Owner"/>
    <x:tableColumn id="5" name="Internal due"/>
    <x:tableColumn id="6" name="Status"/>
    <x:tableColumn id="7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cc84bc88294b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0ad2450644c7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25" hidden="0" customWidth="1"/>
    <x:col min="5" max="5" width="12" hidden="0" customWidth="1"/>
    <x:col min="6" max="6" width="15" hidden="0" customWidth="1"/>
    <x:col min="7" max="7" width="16" hidden="0" customWidth="1"/>
    <x:col min="8" max="8" width="42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8" customHeight="1">
      <x:c r="A2" s="2" t="str">
        <x:v>Decarby awards pipeline 2027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2" customHeight="1">
      <x:c r="A3" s="3" t="str">
        <x:v>Prepared 19 October 2026. Closing windows for 2027 are forecasts until organisers publish their next cycle.</x:v>
      </x:c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18" customHeight="1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18" customHeight="1">
      <x:c r="A6" s="5" t="str">
        <x:v>Recommended 2027 targets</x:v>
      </x:c>
      <x:c r="B6" s="5"/>
      <x:c r="C6" s="5"/>
      <x:c r="D6" s="5" t="str">
        <x:v>Awards screened</x:v>
      </x:c>
      <x:c r="E6" s="5"/>
      <x:c r="F6" s="5"/>
      <x:c r="G6" s="5" t="str">
        <x:v>Current 2026 status</x:v>
      </x:c>
      <x:c r="H6" s="5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18" customHeight="1">
      <x:c r="A7" s="11" t="n">
        <x:f>COUNTIFS('Award register'!$B$5:$B$23,"Target 2027")</x:f>
        <x:v>5</x:v>
      </x:c>
      <x:c r="B7" s="12"/>
      <x:c r="C7" s="1"/>
      <x:c r="D7" s="11" t="n">
        <x:f>COUNTA('Award register'!$D$5:$D$23)</x:f>
        <x:v>19</x:v>
      </x:c>
      <x:c r="E7" s="12"/>
      <x:c r="F7" s="1"/>
      <x:c r="G7" s="19" t="str">
        <x:v>All researched 2026 application windows have closed</x:v>
      </x:c>
      <x:c r="H7" s="20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18" customHeight="1">
      <x:c r="A8" s="13"/>
      <x:c r="B8" s="14"/>
      <x:c r="C8" s="1"/>
      <x:c r="D8" s="13"/>
      <x:c r="E8" s="14"/>
      <x:c r="F8" s="1"/>
      <x:c r="G8" s="21"/>
      <x:c r="H8" s="22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34" customHeight="1">
      <x:c r="A10" s="34" t="str">
        <x:v>Rank</x:v>
      </x:c>
      <x:c r="B10" s="35" t="str">
        <x:v>Award</x:v>
      </x:c>
      <x:c r="C10" s="35" t="str">
        <x:v>Candidate</x:v>
      </x:c>
      <x:c r="D10" s="35" t="str">
        <x:v>Expected close</x:v>
      </x:c>
      <x:c r="E10" s="35" t="str">
        <x:v>Priority score</x:v>
      </x:c>
      <x:c r="F10" s="35" t="str">
        <x:v>Est. win probability</x:v>
      </x:c>
      <x:c r="G10" s="35" t="str">
        <x:v>Decision</x:v>
      </x:c>
      <x:c r="H10" s="36" t="str">
        <x:v>Immediate focus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54" customHeight="1">
      <x:c r="A11" s="46" t="n">
        <x:f>1</x:f>
        <x:v>1</x:v>
      </x:c>
      <x:c r="B11" s="47" t="str">
        <x:f>'Award register'!D5</x:f>
        <x:v>Bluebell Sustainable Business Awards</x:v>
      </x:c>
      <x:c r="C11" s="47" t="str">
        <x:f>'Award register'!F5</x:f>
        <x:v>Decarby</x:v>
      </x:c>
      <x:c r="D11" s="47" t="str">
        <x:f>'Award register'!I5</x:f>
        <x:v>Expected Jul-Aug 2027; use 10 Aug as planning assumption</x:v>
      </x:c>
      <x:c r="E11" s="48" t="n">
        <x:f>'Award register'!S5</x:f>
        <x:v>90</x:v>
      </x:c>
      <x:c r="F11" s="49" t="n">
        <x:f>'Award register'!T5</x:f>
        <x:v>0.35</x:v>
      </x:c>
      <x:c r="G11" s="47" t="str">
        <x:f>'Award register'!B5</x:f>
        <x:v>Target 2027</x:v>
      </x:c>
      <x:c r="H11" s="47" t="str">
        <x:f>'Award register'!W5</x:f>
        <x:v>Choose one flagship ACT project and establish before/after energy, cost and emissions metrics by 31 Mar 2027.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54" customHeight="1">
      <x:c r="A12" s="46" t="n">
        <x:f>2</x:f>
        <x:v>2</x:v>
      </x:c>
      <x:c r="B12" s="47" t="str">
        <x:f>'Award register'!D6</x:f>
        <x:v>Canberra Women in Business Awards</x:v>
      </x:c>
      <x:c r="C12" s="47" t="str">
        <x:f>'Award register'!F6</x:f>
        <x:v>Nana Sashiwa</x:v>
      </x:c>
      <x:c r="D12" s="47" t="str">
        <x:f>'Award register'!I6</x:f>
        <x:v>Expected Jul-Sep 2027; use mid-Sep as planning assumption</x:v>
      </x:c>
      <x:c r="E12" s="48" t="n">
        <x:f>'Award register'!S6</x:f>
        <x:v>86</x:v>
      </x:c>
      <x:c r="F12" s="49" t="n">
        <x:f>'Award register'!T6</x:f>
        <x:v>0.33</x:v>
      </x:c>
      <x:c r="G12" s="47" t="str">
        <x:f>'Award register'!B6</x:f>
        <x:v>Target 2027</x:v>
      </x:c>
      <x:c r="H12" s="47" t="str">
        <x:f>'Award register'!W6</x:f>
        <x:v>Confirm Nana's CWB membership and capture revenue growth, client wins, process improvements and leadership examples quarterly.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54" customHeight="1">
      <x:c r="A13" s="46" t="n">
        <x:f>3</x:f>
        <x:v>3</x:v>
      </x:c>
      <x:c r="B13" s="47" t="str">
        <x:f>'Award register'!D7</x:f>
        <x:v>Australian Trades Small Business Champion Awards</x:v>
      </x:c>
      <x:c r="C13" s="47" t="str">
        <x:f>'Award register'!F7</x:f>
        <x:v>Decarby</x:v>
      </x:c>
      <x:c r="D13" s="47" t="str">
        <x:f>'Award register'!I7</x:f>
        <x:v>Likely Jan-Feb 2027; monitor from Dec 2026</x:v>
      </x:c>
      <x:c r="E13" s="48" t="n">
        <x:f>'Award register'!S7</x:f>
        <x:v>83</x:v>
      </x:c>
      <x:c r="F13" s="49" t="n">
        <x:f>'Award register'!T7</x:f>
        <x:v>0.33</x:v>
      </x:c>
      <x:c r="G13" s="47" t="str">
        <x:f>'Award register'!B7</x:f>
        <x:v>Target 2027</x:v>
      </x:c>
      <x:c r="H13" s="47" t="str">
        <x:f>'Award register'!W7</x:f>
        <x:v>Prepare a reusable business profile, team photo, three customer case studies and quality/compliance evidence before entries open.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54" customHeight="1">
      <x:c r="A14" s="46" t="n">
        <x:f>4</x:f>
        <x:v>4</x:v>
      </x:c>
      <x:c r="B14" s="47" t="str">
        <x:f>'Award register'!D8</x:f>
        <x:v>Women in Industry Awards</x:v>
      </x:c>
      <x:c r="C14" s="47" t="str">
        <x:f>'Award register'!F8</x:f>
        <x:v>Nana Sashiwa</x:v>
      </x:c>
      <x:c r="D14" s="47" t="str">
        <x:f>'Award register'!I8</x:f>
        <x:v>Expected Feb-Apr 2027</x:v>
      </x:c>
      <x:c r="E14" s="48" t="n">
        <x:f>'Award register'!S8</x:f>
        <x:v>80</x:v>
      </x:c>
      <x:c r="F14" s="49" t="n">
        <x:f>'Award register'!T8</x:f>
        <x:v>0.29</x:v>
      </x:c>
      <x:c r="G14" s="47" t="str">
        <x:f>'Award register'!B8</x:f>
        <x:v>Target 2027</x:v>
      </x:c>
      <x:c r="H14" s="47" t="str">
        <x:f>'Award register'!W8</x:f>
        <x:v>Create a Nana impact log now: initiative, her role, client or partnership won, revenue or pipeline value, and proof source.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54" customHeight="1">
      <x:c r="A15" s="50" t="n">
        <x:f>5</x:f>
        <x:v>5</x:v>
      </x:c>
      <x:c r="B15" s="51" t="str">
        <x:f>'Award register'!D9</x:f>
        <x:v>AIRAH National Awards</x:v>
      </x:c>
      <x:c r="C15" s="51" t="str">
        <x:f>'Award register'!F9</x:f>
        <x:v>Bilal Babadagi / Decarby</x:v>
      </x:c>
      <x:c r="D15" s="51" t="str">
        <x:f>'Award register'!I9</x:f>
        <x:v>Expected Jun-Aug 2027</x:v>
      </x:c>
      <x:c r="E15" s="52" t="n">
        <x:f>'Award register'!S9</x:f>
        <x:v>78</x:v>
      </x:c>
      <x:c r="F15" s="53" t="n">
        <x:f>'Award register'!T9</x:f>
        <x:v>0.29</x:v>
      </x:c>
      <x:c r="G15" s="51" t="str">
        <x:f>'Award register'!B9</x:f>
        <x:v>Target 2027</x:v>
      </x:c>
      <x:c r="H15" s="51" t="str">
        <x:f>'Award register'!W9</x:f>
        <x:v>Nominate one technically distinctive retrofit and arrange baseline, commissioning and post-install performance measurement.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18" customHeight="1">
      <x:c r="A16" s="62" t="str">
        <x:v>Quick use: open Award register and filter Recommendation, Eligibility status, Candidate, Expected 2027 close or Estimated win probability. Each Official source cell is a clickable link.</x:v>
      </x:c>
      <x:c r="B16" s="63"/>
      <x:c r="C16" s="63"/>
      <x:c r="D16" s="63"/>
      <x:c r="E16" s="63"/>
      <x:c r="F16" s="63"/>
      <x:c r="G16" s="63"/>
      <x:c r="H16" s="64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 ht="18" customHeight="1">
      <x:c r="A18" s="67" t="str">
        <x:v>Recommended sequencing</x:v>
      </x:c>
      <x:c r="B18" s="67"/>
      <x:c r="C18" s="67"/>
      <x:c r="D18" s="1"/>
      <x:c r="E18" s="67" t="str">
        <x:v>Before starting any application</x:v>
      </x:c>
      <x:c r="F18" s="67"/>
      <x:c r="G18" s="67"/>
      <x:c r="H18" s="67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58" customHeight="1">
      <x:c r="A19" s="70" t="str">
        <x:v>Period</x:v>
      </x:c>
      <x:c r="B19" s="70" t="str">
        <x:v>Focus</x:v>
      </x:c>
      <x:c r="C19" s="70" t="str">
        <x:v>Actions</x:v>
      </x:c>
      <x:c r="D19" s="1"/>
      <x:c r="E19" s="74" t="str">
        <x:v>1</x:v>
      </x:c>
      <x:c r="F19" s="47" t="str">
        <x:v>Confirm Nana's ownership status</x:v>
      </x:c>
      <x:c r="G19" s="47" t="str">
        <x:v>Several entrepreneur/women-owned awards depend on this</x:v>
      </x:c>
      <x:c r="H19" s="47" t="str">
        <x:v>Owner: Nana / directors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 ht="58" customHeight="1">
      <x:c r="A20" s="47" t="str">
        <x:v>Oct-Nov 2026</x:v>
      </x:c>
      <x:c r="B20" s="47" t="str">
        <x:v>Set foundations</x:v>
      </x:c>
      <x:c r="C20" s="47" t="str">
        <x:v>Confirm eligibility facts; subscribe to all organiser updates; assign one evidence owner; create impact and growth registers.</x:v>
      </x:c>
      <x:c r="D20" s="1"/>
      <x:c r="E20" s="74" t="str">
        <x:v>2</x:v>
      </x:c>
      <x:c r="F20" s="47" t="str">
        <x:v>Confirm Ahmad's identity and credentials</x:v>
      </x:c>
      <x:c r="G20" s="47" t="str">
        <x:v>EA membership, age, role and technical record are unknown</x:v>
      </x:c>
      <x:c r="H20" s="47" t="str">
        <x:v>Owner: Ahmad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 ht="58" customHeight="1">
      <x:c r="A21" s="47" t="str">
        <x:v>Dec 2026-Jan 2027</x:v>
      </x:c>
      <x:c r="B21" s="47" t="str">
        <x:v>First application pack</x:v>
      </x:c>
      <x:c r="C21" s="47" t="str">
        <x:v>Prepare Australian Trades / Small Business Champion material; select three flagship projects; obtain client permissions.</x:v>
      </x:c>
      <x:c r="D21" s="1"/>
      <x:c r="E21" s="74" t="str">
        <x:v>3</x:v>
      </x:c>
      <x:c r="F21" s="47" t="str">
        <x:v>Select three flagship projects</x:v>
      </x:c>
      <x:c r="G21" s="47" t="str">
        <x:v>Prioritise measurable electrification and retrofit outcomes</x:v>
      </x:c>
      <x:c r="H21" s="47" t="str">
        <x:v>Owner: Bilal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58" customHeight="1">
      <x:c r="A22" s="47" t="str">
        <x:v>Feb-Mar 2027</x:v>
      </x:c>
      <x:c r="B22" s="47" t="str">
        <x:v>Nana and energy awards</x:v>
      </x:c>
      <x:c r="C22" s="47" t="str">
        <x:v>Draft Women in Industry entry; assess Smart Energy and EEC launches; complete business metrics and operations baseline.</x:v>
      </x:c>
      <x:c r="D22" s="1"/>
      <x:c r="E22" s="74" t="str">
        <x:v>4</x:v>
      </x:c>
      <x:c r="F22" s="47" t="str">
        <x:v>Start monthly growth tracking</x:v>
      </x:c>
      <x:c r="G22" s="47" t="str">
        <x:v>Revenue, clients, conversion, referrals and pipeline</x:v>
      </x:c>
      <x:c r="H22" s="47" t="str">
        <x:v>Owner: Nana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58" customHeight="1">
      <x:c r="A23" s="47" t="str">
        <x:v>Apr-May 2027</x:v>
      </x:c>
      <x:c r="B23" s="47" t="str">
        <x:v>Individual and local impact</x:v>
      </x:c>
      <x:c r="C23" s="47" t="str">
        <x:v>Decide ACT Women's entry; draft Bilal's Engineers Australia criteria; build community/inclusion evidence.</x:v>
      </x:c>
      <x:c r="D23" s="1"/>
      <x:c r="E23" s="74" t="str">
        <x:v>5</x:v>
      </x:c>
      <x:c r="F23" s="47" t="str">
        <x:v>Measure customer impact consistently</x:v>
      </x:c>
      <x:c r="G23" s="47" t="str">
        <x:v>Energy, bills, peak demand and emissions</x:v>
      </x:c>
      <x:c r="H23" s="47" t="str">
        <x:v>Owner: Bilal / Ahmad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58" customHeight="1">
      <x:c r="A24" s="47" t="str">
        <x:v>Jun-Jul 2027</x:v>
      </x:c>
      <x:c r="B24" s="47" t="str">
        <x:v>National submissions</x:v>
      </x:c>
      <x:c r="C24" s="47" t="str">
        <x:v>Submit Engineers Australia if evidence threshold is met; prepare Telstra, Banksia and women's small-business conditional entries.</x:v>
      </x:c>
      <x:c r="D24" s="1"/>
      <x:c r="E24" s="74" t="str">
        <x:v>6</x:v>
      </x:c>
      <x:c r="F24" s="47" t="str">
        <x:v>Secure publication permissions</x:v>
      </x:c>
      <x:c r="G24" s="47" t="str">
        <x:v>Customer names, photos, data and testimonials</x:v>
      </x:c>
      <x:c r="H24" s="47" t="str">
        <x:v>Owner: Nana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58" customHeight="1">
      <x:c r="A25" s="47" t="str">
        <x:v>Jul-Sep 2027</x:v>
      </x:c>
      <x:c r="B25" s="47" t="str">
        <x:v>Local and industry peak</x:v>
      </x:c>
      <x:c r="C25" s="47" t="str">
        <x:v>Submit Bluebell, AIRAH and Canberra Women in Business; reuse verified evidence and tailor category narratives.</x:v>
      </x:c>
      <x:c r="D25" s="1"/>
      <x:c r="E25" s="74" t="str">
        <x:v>7</x:v>
      </x:c>
      <x:c r="F25" s="47" t="str">
        <x:v>Choose one category per program</x:v>
      </x:c>
      <x:c r="G25" s="47" t="str">
        <x:v>Do not dilute the evidence across weak categories</x:v>
      </x:c>
      <x:c r="H25" s="47" t="str">
        <x:v>Owner: Project team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58" customHeight="1">
      <x:c r="A26" s="51" t="str">
        <x:v>Oct-Dec 2027</x:v>
      </x:c>
      <x:c r="B26" s="51" t="str">
        <x:v>Review and leverage</x:v>
      </x:c>
      <x:c r="C26" s="51" t="str">
        <x:v>Record results and judge feedback; publish finalist/winner marketing; update evidence gaps and 2028 pipeline.</x:v>
      </x:c>
      <x:c r="D26" s="1"/>
      <x:c r="E26" s="75" t="str">
        <x:v>8</x:v>
      </x:c>
      <x:c r="F26" s="51" t="str">
        <x:v>Apply only above the evidence threshold</x:v>
      </x:c>
      <x:c r="G26" s="51" t="str">
        <x:v>At least three quantified outcomes and two independent proof points</x:v>
      </x:c>
      <x:c r="H26" s="51" t="str">
        <x:v>Owner: Project team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18" customHeight="1">
      <x:c r="A29" s="76" t="str">
        <x:v>Scoring note</x:v>
      </x:c>
      <x:c r="B29" s="76"/>
      <x:c r="C29" s="76"/>
      <x:c r="D29" s="76"/>
      <x:c r="E29" s="76"/>
      <x:c r="F29" s="76"/>
      <x:c r="G29" s="76"/>
      <x:c r="H29" s="76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38" customHeight="1">
      <x:c r="A30" s="91" t="str">
        <x:v>Priority score weights: strategic fit 25%, eligibility confidence 20%, evidence readiness 15%, winability 15%, marketing value 20%, and lower effort 5%. Indicative likelihood is a capped planning estimate based on fit, eligibility, readiness and competition; it is not an organiser-published probability. Scores should be updated as evidence and 2027 rules become available.</x:v>
      </x:c>
      <x:c r="B30" s="92"/>
      <x:c r="C30" s="92"/>
      <x:c r="D30" s="92"/>
      <x:c r="E30" s="92"/>
      <x:c r="F30" s="92"/>
      <x:c r="G30" s="92"/>
      <x:c r="H30" s="93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38" customHeight="1">
      <x:c r="A31" s="94"/>
      <x:c r="B31" s="95"/>
      <x:c r="C31" s="95"/>
      <x:c r="D31" s="95"/>
      <x:c r="E31" s="95"/>
      <x:c r="F31" s="95"/>
      <x:c r="G31" s="95"/>
      <x:c r="H31" s="96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 ht="18" customHeight="1">
      <x:c r="A33" s="66" t="str">
        <x:v>Automated monitoring</x:v>
      </x:c>
      <x:c r="B33" s="66"/>
      <x:c r="C33" s="66"/>
      <x:c r="D33" s="66"/>
      <x:c r="E33" s="66"/>
      <x:c r="F33" s="66"/>
      <x:c r="G33" s="66"/>
      <x:c r="H33" s="66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 ht="28" customHeight="1">
      <x:c r="A34" s="110" t="str">
        <x:v>GitHub checks all official award sources every Friday and Monday at 6:00 AM PHT. Monday's run emails an HTML briefing and this workbook to nathalie@decarbysolar.com.au through the existing authorised Outlook connection.</x:v>
      </x:c>
      <x:c r="B34" s="111"/>
      <x:c r="C34" s="111"/>
      <x:c r="D34" s="111"/>
      <x:c r="E34" s="111"/>
      <x:c r="F34" s="111"/>
      <x:c r="G34" s="111"/>
      <x:c r="H34" s="112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 ht="28" customHeight="1">
      <x:c r="A35" s="113"/>
      <x:c r="B35" s="114"/>
      <x:c r="C35" s="114"/>
      <x:c r="D35" s="114"/>
      <x:c r="E35" s="114"/>
      <x:c r="F35" s="114"/>
      <x:c r="G35" s="114"/>
      <x:c r="H35" s="115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</x:sheetData>
  <x:mergeCells>
    <x:mergeCell ref="A2:H2"/>
    <x:mergeCell ref="A3:H3"/>
    <x:mergeCell ref="A7:B8"/>
    <x:mergeCell ref="D7:E8"/>
    <x:mergeCell ref="G7:H8"/>
    <x:mergeCell ref="A16:H16"/>
    <x:mergeCell ref="A18:C18"/>
    <x:mergeCell ref="E18:H18"/>
    <x:mergeCell ref="A29:H29"/>
    <x:mergeCell ref="A30:H31"/>
    <x:mergeCell ref="A33:H33"/>
    <x:mergeCell ref="A34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6B68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16" hidden="0" customWidth="1"/>
    <x:col min="4" max="4" width="30" hidden="0" customWidth="1"/>
    <x:col min="5" max="5" width="32" hidden="0" customWidth="1"/>
    <x:col min="6" max="6" width="22" hidden="0" customWidth="1"/>
    <x:col min="7" max="7" width="16" hidden="0" customWidth="1"/>
    <x:col min="8" max="8" width="15" hidden="0" customWidth="1"/>
    <x:col min="9" max="9" width="29" hidden="0" customWidth="1"/>
    <x:col min="10" max="10" width="20" hidden="0" customWidth="1"/>
    <x:col min="11" max="11" width="48" hidden="0" customWidth="1"/>
    <x:col min="12" max="12" width="48" hidden="0" customWidth="1"/>
    <x:col min="13" max="13" width="7" hidden="0" customWidth="1"/>
    <x:col min="14" max="14" width="12" hidden="0" customWidth="1"/>
    <x:col min="15" max="15" width="12" hidden="0" customWidth="1"/>
    <x:col min="16" max="16" width="8" hidden="0" customWidth="1"/>
    <x:col min="17" max="17" width="11" hidden="0" customWidth="1"/>
    <x:col min="18" max="18" width="7" hidden="0" customWidth="1"/>
    <x:col min="19" max="19" width="12" hidden="0" customWidth="1"/>
    <x:col min="20" max="20" width="14" hidden="0" customWidth="1"/>
    <x:col min="21" max="21" width="28" hidden="0" customWidth="1"/>
    <x:col min="22" max="22" width="48" hidden="0" customWidth="1"/>
    <x:col min="23" max="23" width="46" hidden="0" customWidth="1"/>
    <x:col min="24" max="24" width="22" hidden="0" customWidth="1"/>
    <x:col min="25" max="25" width="14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8" customHeight="1">
      <x:c r="A2" s="2" t="str">
        <x:v>Award register and fit assessment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2" customHeight="1">
      <x:c r="A3" s="3" t="str">
        <x:v>Use the filter arrows in row 4. Scores are editable inputs (1=low, 5=high); probability is an internal planning estimate. 2027 dates remain forecasts until verified.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4" ht="54" customHeight="1">
      <x:c r="A4" s="34" t="str">
        <x:v>Rank</x:v>
      </x:c>
      <x:c r="B4" s="35" t="str">
        <x:v>Recommendation</x:v>
      </x:c>
      <x:c r="C4" s="35" t="str">
        <x:v>Eligibility status</x:v>
      </x:c>
      <x:c r="D4" s="35" t="str">
        <x:v>Award / program</x:v>
      </x:c>
      <x:c r="E4" s="35" t="str">
        <x:v>Best category</x:v>
      </x:c>
      <x:c r="F4" s="35" t="str">
        <x:v>Candidate</x:v>
      </x:c>
      <x:c r="G4" s="35" t="str">
        <x:v>Scope</x:v>
      </x:c>
      <x:c r="H4" s="35" t="str">
        <x:v>Last confirmed close</x:v>
      </x:c>
      <x:c r="I4" s="35" t="str">
        <x:v>Expected 2027 close / window</x:v>
      </x:c>
      <x:c r="J4" s="35" t="str">
        <x:v>Date certainty</x:v>
      </x:c>
      <x:c r="K4" s="35" t="str">
        <x:v>Eligibility / criteria summary</x:v>
      </x:c>
      <x:c r="L4" s="35" t="str">
        <x:v>Requirements / evidence needed</x:v>
      </x:c>
      <x:c r="M4" s="35" t="str">
        <x:v>Fit</x:v>
      </x:c>
      <x:c r="N4" s="35" t="str">
        <x:v>Eligibility confidence</x:v>
      </x:c>
      <x:c r="O4" s="35" t="str">
        <x:v>Evidence readiness</x:v>
      </x:c>
      <x:c r="P4" s="35" t="str">
        <x:v>Winability</x:v>
      </x:c>
      <x:c r="Q4" s="35" t="str">
        <x:v>Marketing value</x:v>
      </x:c>
      <x:c r="R4" s="35" t="str">
        <x:v>Effort</x:v>
      </x:c>
      <x:c r="S4" s="35" t="str">
        <x:v>Priority score</x:v>
      </x:c>
      <x:c r="T4" s="35" t="str">
        <x:v>Estimated win probability</x:v>
      </x:c>
      <x:c r="U4" s="35" t="str">
        <x:v>Fee / membership</x:v>
      </x:c>
      <x:c r="V4" s="35" t="str">
        <x:v>Why it fits / gap</x:v>
      </x:c>
      <x:c r="W4" s="35" t="str">
        <x:v>Next action</x:v>
      </x:c>
      <x:c r="X4" s="35" t="str">
        <x:v>Official source</x:v>
      </x:c>
      <x:c r="Y4" s="36" t="str">
        <x:v>Source checked</x:v>
      </x:c>
    </x:row>
    <x:row r="5" ht="96" customHeight="1">
      <x:c r="A5" s="46" t="n">
        <x:v>1</x:v>
      </x:c>
      <x:c r="B5" s="47" t="str">
        <x:v>Target 2027</x:v>
      </x:c>
      <x:c r="C5" s="47" t="str">
        <x:v>Likely eligible</x:v>
      </x:c>
      <x:c r="D5" s="47" t="str">
        <x:v>Bluebell Sustainable Business Awards</x:v>
      </x:c>
      <x:c r="E5" s="47" t="str">
        <x:v>Energy Transition; Sustainable Small Business; Innovation Excellence</x:v>
      </x:c>
      <x:c r="F5" s="47" t="str">
        <x:v>Decarby</x:v>
      </x:c>
      <x:c r="G5" s="47" t="str">
        <x:v>ACT</x:v>
      </x:c>
      <x:c r="H5" s="120" t="d">
        <x:v>2026-08-10T00:00:00.000Z</x:v>
      </x:c>
      <x:c r="I5" s="47" t="str">
        <x:v>Expected Jul-Aug 2027; use 10 Aug as planning assumption</x:v>
      </x:c>
      <x:c r="J5" s="47" t="str">
        <x:v>Forecast from 2026 cycle</x:v>
      </x:c>
      <x:c r="K5" s="47" t="str">
        <x:v>ACT business or organisation. Entry should show measurable sustainability or climate outcomes; select one strongest category.</x:v>
      </x:c>
      <x:c r="L5" s="47" t="str">
        <x:v>Choose one category; provide a project narrative, measurable energy/emissions outcomes, supporting calculations, approved photos and customer/partner evidence.</x:v>
      </x:c>
      <x:c r="M5" s="125" t="n">
        <x:v>5</x:v>
      </x:c>
      <x:c r="N5" s="125" t="n">
        <x:v>5</x:v>
      </x:c>
      <x:c r="O5" s="125" t="n">
        <x:v>3</x:v>
      </x:c>
      <x:c r="P5" s="125" t="n">
        <x:v>4</x:v>
      </x:c>
      <x:c r="Q5" s="125" t="n">
        <x:v>5</x:v>
      </x:c>
      <x:c r="R5" s="125" t="n">
        <x:v>2</x:v>
      </x:c>
      <x:c r="S5" s="127" t="n">
        <x:f>ROUND((M5*25+N5*20+O5*15+P5*15+Q5*20+(6-R5)*5)/5,0)</x:f>
        <x:v>90</x:v>
      </x:c>
      <x:c r="T5" s="128" t="n">
        <x:f>ROUND((M5*0.30+N5*0.25+O5*0.20+P5*0.25)/5*40%,2)</x:f>
        <x:v>0.35</x:v>
      </x:c>
      <x:c r="U5" s="47" t="str">
        <x:v>No fee stated</x:v>
      </x:c>
      <x:c r="V5" s="47" t="str">
        <x:v>Best local fit. Decarby's integrated solar, battery, electrification and energy-efficiency work aligns directly. Main gap is quantified customer and operational impact.</x:v>
      </x:c>
      <x:c r="W5" s="47" t="str">
        <x:v>Choose one flagship ACT project and establish before/after energy, cost and emissions metrics by 31 Mar 2027.</x:v>
      </x:c>
      <x:c r="X5" s="119" t="str">
        <x:f>HYPERLINK("https://www.climatechoices.act.gov.au/events-news/news/nominations-are-now-open-for-the-2026-bluebell-sustainable-business-awards","Open official page")</x:f>
        <x:v>Open official page</x:v>
      </x:c>
      <x:c r="Y5" s="121" t="d">
        <x:v>2026-10-19T00:00:00.000Z</x:v>
      </x:c>
    </x:row>
    <x:row r="6" ht="96" customHeight="1">
      <x:c r="A6" s="46" t="n">
        <x:v>2</x:v>
      </x:c>
      <x:c r="B6" s="47" t="str">
        <x:v>Target 2027</x:v>
      </x:c>
      <x:c r="C6" s="47" t="str">
        <x:v>Needs confirmation</x:v>
      </x:c>
      <x:c r="D6" s="47" t="str">
        <x:v>Canberra Women in Business Awards</x:v>
      </x:c>
      <x:c r="E6" s="47" t="str">
        <x:v>Sustainability Business Woman; Business Development; Leadership</x:v>
      </x:c>
      <x:c r="F6" s="47" t="str">
        <x:v>Nana Sashiwa</x:v>
      </x:c>
      <x:c r="G6" s="47" t="str">
        <x:v>ACT / Canberra region</x:v>
      </x:c>
      <x:c r="H6" s="120" t="d">
        <x:v>2026-09-16T00:00:00.000Z</x:v>
      </x:c>
      <x:c r="I6" s="47" t="str">
        <x:v>Expected Jul-Sep 2027; use mid-Sep as planning assumption</x:v>
      </x:c>
      <x:c r="J6" s="47" t="str">
        <x:v>Forecast from 2026 cycle</x:v>
      </x:c>
      <x:c r="K6" s="47" t="str">
        <x:v>Award entry is a CWB member benefit. Candidate should be a woman leading or contributing in business in the Canberra region; confirm category rules when released.</x:v>
      </x:c>
      <x:c r="L6" s="47" t="str">
        <x:v>Hold or obtain CWB membership; complete category questions; show Nana's attributable leadership, client wins and business results; prepare references and current profile assets.</x:v>
      </x:c>
      <x:c r="M6" s="125" t="n">
        <x:v>5</x:v>
      </x:c>
      <x:c r="N6" s="125" t="n">
        <x:v>4</x:v>
      </x:c>
      <x:c r="O6" s="125" t="n">
        <x:v>3</x:v>
      </x:c>
      <x:c r="P6" s="125" t="n">
        <x:v>4</x:v>
      </x:c>
      <x:c r="Q6" s="125" t="n">
        <x:v>5</x:v>
      </x:c>
      <x:c r="R6" s="125" t="n">
        <x:v>2</x:v>
      </x:c>
      <x:c r="S6" s="127" t="n">
        <x:f>ROUND((M6*25+N6*20+O6*15+P6*15+Q6*20+(6-R6)*5)/5,0)</x:f>
        <x:v>86</x:v>
      </x:c>
      <x:c r="T6" s="128" t="n">
        <x:f>ROUND((M6*0.30+N6*0.25+O6*0.20+P6*0.25)/5*40%,2)</x:f>
        <x:v>0.33</x:v>
      </x:c>
      <x:c r="U6" s="47" t="str">
        <x:v>CWB membership: $150/year (individual)</x:v>
      </x:c>
      <x:c r="V6" s="47" t="str">
        <x:v>Strong local profile fit for Nana's business development and operations role. Sustainability and leadership categories provide credible paths without requiring founder status, subject to 2027 rules.</x:v>
      </x:c>
      <x:c r="W6" s="47" t="str">
        <x:v>Confirm Nana's CWB membership and capture revenue growth, client wins, process improvements and leadership examples quarterly.</x:v>
      </x:c>
      <x:c r="X6" s="119" t="str">
        <x:f>HYPERLINK("https://www.cwb.org.au/awards/","Open official page")</x:f>
        <x:v>Open official page</x:v>
      </x:c>
      <x:c r="Y6" s="121" t="d">
        <x:v>2026-10-19T00:00:00.000Z</x:v>
      </x:c>
    </x:row>
    <x:row r="7" ht="96" customHeight="1">
      <x:c r="A7" s="46" t="n">
        <x:v>3</x:v>
      </x:c>
      <x:c r="B7" s="47" t="str">
        <x:v>Target 2027</x:v>
      </x:c>
      <x:c r="C7" s="47" t="str">
        <x:v>Likely eligible</x:v>
      </x:c>
      <x:c r="D7" s="47" t="str">
        <x:v>Australian Trades Small Business Champion Awards</x:v>
      </x:c>
      <x:c r="E7" s="47" t="str">
        <x:v>Solar</x:v>
      </x:c>
      <x:c r="F7" s="47" t="str">
        <x:v>Decarby</x:v>
      </x:c>
      <x:c r="G7" s="47" t="str">
        <x:v>Australia</x:v>
      </x:c>
      <x:c r="H7" s="120" t="d">
        <x:v>2026-01-31T00:00:00.000Z</x:v>
      </x:c>
      <x:c r="I7" s="47" t="str">
        <x:v>Likely Jan-Feb 2027; monitor from Dec 2026</x:v>
      </x:c>
      <x:c r="J7" s="47" t="str">
        <x:v>Forecast; 2026 site contains inconsistent event dates</x:v>
      </x:c>
      <x:c r="K7" s="47" t="str">
        <x:v>Australian trade retail/service business with an ABN and 40 or fewer FTE; business must fit the Solar category.</x:v>
      </x:c>
      <x:c r="L7" s="47" t="str">
        <x:v>Confirm ABN and FTE count; complete business/category questions; supply team photo and supporting documents; evidence install quality, growth and customer satisfaction.</x:v>
      </x:c>
      <x:c r="M7" s="125" t="n">
        <x:v>5</x:v>
      </x:c>
      <x:c r="N7" s="125" t="n">
        <x:v>5</x:v>
      </x:c>
      <x:c r="O7" s="125" t="n">
        <x:v>3</x:v>
      </x:c>
      <x:c r="P7" s="125" t="n">
        <x:v>3</x:v>
      </x:c>
      <x:c r="Q7" s="125" t="n">
        <x:v>4</x:v>
      </x:c>
      <x:c r="R7" s="125" t="n">
        <x:v>2</x:v>
      </x:c>
      <x:c r="S7" s="127" t="n">
        <x:f>ROUND((M7*25+N7*20+O7*15+P7*15+Q7*20+(6-R7)*5)/5,0)</x:f>
        <x:v>83</x:v>
      </x:c>
      <x:c r="T7" s="128" t="n">
        <x:f>ROUND((M7*0.30+N7*0.25+O7*0.20+P7*0.25)/5*40%,2)</x:f>
        <x:v>0.33</x:v>
      </x:c>
      <x:c r="U7" s="47" t="str">
        <x:v>Entry fee not stated; verify on launch</x:v>
      </x:c>
      <x:c r="V7" s="47" t="str">
        <x:v>Direct Solar category and small-business field make this more targeted than broad national programs. Customer proof, install quality and growth evidence will decide competitiveness.</x:v>
      </x:c>
      <x:c r="W7" s="47" t="str">
        <x:v>Prepare a reusable business profile, team photo, three customer case studies and quality/compliance evidence before entries open.</x:v>
      </x:c>
      <x:c r="X7" s="119" t="str">
        <x:f>HYPERLINK("https://www.championawards.com.au/trades/categories","Open official page")</x:f>
        <x:v>Open official page</x:v>
      </x:c>
      <x:c r="Y7" s="121" t="d">
        <x:v>2026-10-19T00:00:00.000Z</x:v>
      </x:c>
    </x:row>
    <x:row r="8" ht="96" customHeight="1">
      <x:c r="A8" s="46" t="n">
        <x:v>4</x:v>
      </x:c>
      <x:c r="B8" s="47" t="str">
        <x:v>Target 2027</x:v>
      </x:c>
      <x:c r="C8" s="47" t="str">
        <x:v>Likely eligible</x:v>
      </x:c>
      <x:c r="D8" s="47" t="str">
        <x:v>Women in Industry Awards</x:v>
      </x:c>
      <x:c r="E8" s="47" t="str">
        <x:v>Business Development Success of the Year; Excellence in Energy; Women in Leadership</x:v>
      </x:c>
      <x:c r="F8" s="47" t="str">
        <x:v>Nana Sashiwa</x:v>
      </x:c>
      <x:c r="G8" s="47" t="str">
        <x:v>Australia</x:v>
      </x:c>
      <x:c r="H8" s="120" t="d">
        <x:v>2026-04-02T00:00:00.000Z</x:v>
      </x:c>
      <x:c r="I8" s="47" t="str">
        <x:v>Expected Feb-Apr 2027</x:v>
      </x:c>
      <x:c r="J8" s="47" t="str">
        <x:v>Forecast from 2026 cycle</x:v>
      </x:c>
      <x:c r="K8" s="47" t="str">
        <x:v>Nominee must reside and work in Australia. Business Development criteria focus on initiatives, clients won and financial benefit delivered in the two years before close.</x:v>
      </x:c>
      <x:c r="L8" s="47" t="str">
        <x:v>Address the published criteria with initiatives, clients won and financial benefit from the prior two years; add independent evidence, portrait/bio and finalist availability.</x:v>
      </x:c>
      <x:c r="M8" s="125" t="n">
        <x:v>5</x:v>
      </x:c>
      <x:c r="N8" s="125" t="n">
        <x:v>5</x:v>
      </x:c>
      <x:c r="O8" s="125" t="n">
        <x:v>2</x:v>
      </x:c>
      <x:c r="P8" s="125" t="n">
        <x:v>2</x:v>
      </x:c>
      <x:c r="Q8" s="125" t="n">
        <x:v>5</x:v>
      </x:c>
      <x:c r="R8" s="125" t="n">
        <x:v>3</x:v>
      </x:c>
      <x:c r="S8" s="127" t="n">
        <x:f>ROUND((M8*25+N8*20+O8*15+P8*15+Q8*20+(6-R8)*5)/5,0)</x:f>
        <x:v>80</x:v>
      </x:c>
      <x:c r="T8" s="128" t="n">
        <x:f>ROUND((M8*0.30+N8*0.25+O8*0.20+P8*0.25)/5*40%,2)</x:f>
        <x:v>0.29</x:v>
      </x:c>
      <x:c r="U8" s="47" t="str">
        <x:v>Not stated; verify</x:v>
      </x:c>
      <x:c r="V8" s="47" t="str">
        <x:v>Excellent role/category match, but a national field and explicit financial evidence make it demanding. Nana needs attributable two-year growth results.</x:v>
      </x:c>
      <x:c r="W8" s="47" t="str">
        <x:v>Create a Nana impact log now: initiative, her role, client or partnership won, revenue or pipeline value, and proof source.</x:v>
      </x:c>
      <x:c r="X8" s="119" t="str">
        <x:f>HYPERLINK("https://womeninindustry.com.au/nominations/","Open official page")</x:f>
        <x:v>Open official page</x:v>
      </x:c>
      <x:c r="Y8" s="121" t="d">
        <x:v>2026-10-19T00:00:00.000Z</x:v>
      </x:c>
    </x:row>
    <x:row r="9" ht="96" customHeight="1">
      <x:c r="A9" s="46" t="n">
        <x:v>5</x:v>
      </x:c>
      <x:c r="B9" s="47" t="str">
        <x:v>Target 2027</x:v>
      </x:c>
      <x:c r="C9" s="47" t="str">
        <x:v>Likely eligible</x:v>
      </x:c>
      <x:c r="D9" s="47" t="str">
        <x:v>AIRAH National Awards</x:v>
      </x:c>
      <x:c r="E9" s="47" t="str">
        <x:v>Best Retrofit Project; Industry Advancement &amp; Inclusion</x:v>
      </x:c>
      <x:c r="F9" s="47" t="str">
        <x:v>Bilal Babadagi / Decarby</x:v>
      </x:c>
      <x:c r="G9" s="47" t="str">
        <x:v>Australia</x:v>
      </x:c>
      <x:c r="H9" s="120" t="d">
        <x:v>2026-08-31T00:00:00.000Z</x:v>
      </x:c>
      <x:c r="I9" s="47" t="str">
        <x:v>Expected Jun-Aug 2027</x:v>
      </x:c>
      <x:c r="J9" s="47" t="str">
        <x:v>Forecast from 2026 cycle</x:v>
      </x:c>
      <x:c r="K9" s="47" t="str">
        <x:v>HVAC&amp;R and building-services projects or individuals. Best Retrofit needs a completed upgrade with clear performance and sustainability outcomes; category rules may change.</x:v>
      </x:c>
      <x:c r="L9" s="47" t="str">
        <x:v>Submit a completed retrofit/initiative with design rationale, installation and commissioning details, measured performance and sustainability outcomes, technical evidence and photos.</x:v>
      </x:c>
      <x:c r="M9" s="125" t="n">
        <x:v>5</x:v>
      </x:c>
      <x:c r="N9" s="125" t="n">
        <x:v>4</x:v>
      </x:c>
      <x:c r="O9" s="125" t="n">
        <x:v>2</x:v>
      </x:c>
      <x:c r="P9" s="125" t="n">
        <x:v>3</x:v>
      </x:c>
      <x:c r="Q9" s="125" t="n">
        <x:v>5</x:v>
      </x:c>
      <x:c r="R9" s="125" t="n">
        <x:v>4</x:v>
      </x:c>
      <x:c r="S9" s="127" t="n">
        <x:f>ROUND((M9*25+N9*20+O9*15+P9*15+Q9*20+(6-R9)*5)/5,0)</x:f>
        <x:v>78</x:v>
      </x:c>
      <x:c r="T9" s="128" t="n">
        <x:f>ROUND((M9*0.30+N9*0.25+O9*0.20+P9*0.25)/5*40%,2)</x:f>
        <x:v>0.29</x:v>
      </x:c>
      <x:c r="U9" s="47" t="str">
        <x:v>Not stated; verify</x:v>
      </x:c>
      <x:c r="V9" s="47" t="str">
        <x:v>Bilal's AIRAH affiliation and building-services background are strong. A measured heat-pump, AC or whole-home electrification retrofit would be more competitive than a standard solar install.</x:v>
      </x:c>
      <x:c r="W9" s="47" t="str">
        <x:v>Nominate one technically distinctive retrofit and arrange baseline, commissioning and post-install performance measurement.</x:v>
      </x:c>
      <x:c r="X9" s="119" t="str">
        <x:f>HYPERLINK("https://awards.airah.org.au/2026-award-categories/","Open official page")</x:f>
        <x:v>Open official page</x:v>
      </x:c>
      <x:c r="Y9" s="121" t="d">
        <x:v>2026-10-19T00:00:00.000Z</x:v>
      </x:c>
    </x:row>
    <x:row r="10" ht="96" customHeight="1">
      <x:c r="A10" s="46" t="n">
        <x:v>6</x:v>
      </x:c>
      <x:c r="B10" s="47" t="str">
        <x:v>Stretch 2027</x:v>
      </x:c>
      <x:c r="C10" s="47" t="str">
        <x:v>Likely eligible</x:v>
      </x:c>
      <x:c r="D10" s="47" t="str">
        <x:v>Engineers Australia Excellence Awards</x:v>
      </x:c>
      <x:c r="E10" s="47" t="str">
        <x:v>Professional Engineer of the Year</x:v>
      </x:c>
      <x:c r="F10" s="47" t="str">
        <x:v>Bilal Babadagi</x:v>
      </x:c>
      <x:c r="G10" s="47" t="str">
        <x:v>Australia; local-to-national pathway</x:v>
      </x:c>
      <x:c r="H10" s="120" t="d">
        <x:v>2026-07-01T00:00:00.000Z</x:v>
      </x:c>
      <x:c r="I10" s="47" t="str">
        <x:v>Expected 1 Apr-1 Jul 2027</x:v>
      </x:c>
      <x:c r="J10" s="47" t="str">
        <x:v>Forecast from 2025-2026 pattern</x:v>
      </x:c>
      <x:c r="K10" s="47" t="str">
        <x:v>Engineers Australia membership or engineering-community membership. Four equally weighted criteria cover transformational impact, judgement/innovation, ethics/sustainability and influence on the profession.</x:v>
      </x:c>
      <x:c r="L10" s="47" t="str">
        <x:v>Confirm current membership; prepare four criterion responses, a 2-3 page CV, short bio, portrait, pronunciation audio and referee details; verify current word limits.</x:v>
      </x:c>
      <x:c r="M10" s="125" t="n">
        <x:v>5</x:v>
      </x:c>
      <x:c r="N10" s="125" t="n">
        <x:v>5</x:v>
      </x:c>
      <x:c r="O10" s="125" t="n">
        <x:v>3</x:v>
      </x:c>
      <x:c r="P10" s="125" t="n">
        <x:v>1</x:v>
      </x:c>
      <x:c r="Q10" s="125" t="n">
        <x:v>5</x:v>
      </x:c>
      <x:c r="R10" s="125" t="n">
        <x:v>4</x:v>
      </x:c>
      <x:c r="S10" s="127" t="n">
        <x:f>ROUND((M10*25+N10*20+O10*15+P10*15+Q10*20+(6-R10)*5)/5,0)</x:f>
        <x:v>79</x:v>
      </x:c>
      <x:c r="T10" s="128" t="n">
        <x:f>ROUND((M10*0.30+N10*0.25+O10*0.20+P10*0.25)/5*40%,2)</x:f>
        <x:v>0.29</x:v>
      </x:c>
      <x:c r="U10" s="47" t="str">
        <x:v>No fee stated</x:v>
      </x:c>
      <x:c r="V10" s="47" t="str">
        <x:v>Bilal's CPEng and NER credentials support eligibility, but this is a highly competitive individual award requiring impact beyond ordinary business delivery and influence on the profession.</x:v>
      </x:c>
      <x:c r="W10" s="47" t="str">
        <x:v>Map Bilal's top three engineering achievements to the four criteria; quantify system-level impact and external influence.</x:v>
      </x:c>
      <x:c r="X10" s="119" t="str">
        <x:f>HYPERLINK("https://www.engineersaustralia.org.au/publications/excellence-awards-2026-people-awards-entry-handbook","Open official page")</x:f>
        <x:v>Open official page</x:v>
      </x:c>
      <x:c r="Y10" s="121" t="d">
        <x:v>2026-10-19T00:00:00.000Z</x:v>
      </x:c>
    </x:row>
    <x:row r="11" ht="96" customHeight="1">
      <x:c r="A11" s="46" t="n">
        <x:v>7</x:v>
      </x:c>
      <x:c r="B11" s="47" t="str">
        <x:v>Stretch 2027</x:v>
      </x:c>
      <x:c r="C11" s="47" t="str">
        <x:v>Needs confirmation</x:v>
      </x:c>
      <x:c r="D11" s="47" t="str">
        <x:v>Smart Energy Excellence Awards</x:v>
      </x:c>
      <x:c r="E11" s="47" t="str">
        <x:v>Smart Installer; Emerging Leader; Smart Employer</x:v>
      </x:c>
      <x:c r="F11" s="47" t="str">
        <x:v>Decarby / eligible team member</x:v>
      </x:c>
      <x:c r="G11" s="47" t="str">
        <x:v>Australia</x:v>
      </x:c>
      <x:c r="H11" s="120"/>
      <x:c r="I11" s="47" t="str">
        <x:v>Likely Q1 2027; subscribe and verify</x:v>
      </x:c>
      <x:c r="J11" s="47" t="str">
        <x:v>Date not published in source reviewed</x:v>
      </x:c>
      <x:c r="K11" s="47" t="str">
        <x:v>Renewable-energy-sector program. 2026 categories included Smart Installer, Emerging Leader and Smart Employer; confirm membership and 2027 category rules.</x:v>
      </x:c>
      <x:c r="L11" s="47" t="str">
        <x:v>Confirm membership and entry conditions; quantify install quality, innovation, safety, employer practices and customer outcomes; prepare evidence and high-resolution images.</x:v>
      </x:c>
      <x:c r="M11" s="125" t="n">
        <x:v>5</x:v>
      </x:c>
      <x:c r="N11" s="125" t="n">
        <x:v>3</x:v>
      </x:c>
      <x:c r="O11" s="125" t="n">
        <x:v>2</x:v>
      </x:c>
      <x:c r="P11" s="125" t="n">
        <x:v>2</x:v>
      </x:c>
      <x:c r="Q11" s="125" t="n">
        <x:v>5</x:v>
      </x:c>
      <x:c r="R11" s="125" t="n">
        <x:v>3</x:v>
      </x:c>
      <x:c r="S11" s="127" t="n">
        <x:f>ROUND((M11*25+N11*20+O11*15+P11*15+Q11*20+(6-R11)*5)/5,0)</x:f>
        <x:v>72</x:v>
      </x:c>
      <x:c r="T11" s="128" t="n">
        <x:f>ROUND((M11*0.30+N11*0.25+O11*0.20+P11*0.25)/5*40%,2)</x:f>
        <x:v>0.25</x:v>
      </x:c>
      <x:c r="U11" s="47" t="str">
        <x:v>Membership/entry conditions TBC</x:v>
      </x:c>
      <x:c r="V11" s="47" t="str">
        <x:v>Strong sector relevance and direct installer category, but 2026 attracted more than 250 submissions and Decarby needs scale, measured quality and a differentiated installer story.</x:v>
      </x:c>
      <x:c r="W11" s="47" t="str">
        <x:v>Join the organiser mailing list; document install volume, defect/rework rate, customer ratings, safety and innovative designs.</x:v>
      </x:c>
      <x:c r="X11" s="119" t="str">
        <x:f>HYPERLINK("https://smartenergy.org.au/smart-energy-excellence-awards-2026-celebrates-industry-leaders-at-gala-dinner-in-sydney/","Open official page")</x:f>
        <x:v>Open official page</x:v>
      </x:c>
      <x:c r="Y11" s="121" t="d">
        <x:v>2026-10-19T00:00:00.000Z</x:v>
      </x:c>
    </x:row>
    <x:row r="12" ht="96" customHeight="1">
      <x:c r="A12" s="46" t="n">
        <x:v>8</x:v>
      </x:c>
      <x:c r="B12" s="47" t="str">
        <x:v>Stretch 2027</x:v>
      </x:c>
      <x:c r="C12" s="47" t="str">
        <x:v>Likely eligible</x:v>
      </x:c>
      <x:c r="D12" s="47" t="str">
        <x:v>Energy Efficiency Council Awards</x:v>
      </x:c>
      <x:c r="E12" s="47" t="str">
        <x:v>Residential energy-management project; Innovation; Champion</x:v>
      </x:c>
      <x:c r="F12" s="47" t="str">
        <x:v>Decarby / Bilal</x:v>
      </x:c>
      <x:c r="G12" s="47" t="str">
        <x:v>Australia</x:v>
      </x:c>
      <x:c r="H12" s="120"/>
      <x:c r="I12" s="47" t="str">
        <x:v>Likely Q1 2027; verify when nominations launch</x:v>
      </x:c>
      <x:c r="J12" s="47" t="str">
        <x:v>Cycle confirmed; 2027 date not published</x:v>
      </x:c>
      <x:c r="K12" s="47" t="str">
        <x:v>Projects must demonstrate excellence in energy efficiency, electrification or demand flexibility. Individual champion categories generally require third-party nomination.</x:v>
      </x:c>
      <x:c r="L12" s="47" t="str">
        <x:v>Provide measured project outcomes, innovation and energy/electrification evidence; arrange third-party nomination for champion categories and representative availability if shortlisted.</x:v>
      </x:c>
      <x:c r="M12" s="125" t="n">
        <x:v>4</x:v>
      </x:c>
      <x:c r="N12" s="125" t="n">
        <x:v>4</x:v>
      </x:c>
      <x:c r="O12" s="125" t="n">
        <x:v>2</x:v>
      </x:c>
      <x:c r="P12" s="125" t="n">
        <x:v>2</x:v>
      </x:c>
      <x:c r="Q12" s="125" t="n">
        <x:v>4</x:v>
      </x:c>
      <x:c r="R12" s="125" t="n">
        <x:v>4</x:v>
      </x:c>
      <x:c r="S12" s="127" t="n">
        <x:f>ROUND((M12*25+N12*20+O12*15+P12*15+Q12*20+(6-R12)*5)/5,0)</x:f>
        <x:v>66</x:v>
      </x:c>
      <x:c r="T12" s="128" t="n">
        <x:f>ROUND((M12*0.30+N12*0.25+O12*0.20+P12*0.25)/5*40%,2)</x:f>
        <x:v>0.25</x:v>
      </x:c>
      <x:c r="U12" s="47" t="str">
        <x:v>TBC</x:v>
      </x:c>
      <x:c r="V12" s="47" t="str">
        <x:v>A strong fit only if Decarby can show measured whole-home or commercial electrification outcomes beyond a standard install.</x:v>
      </x:c>
      <x:c r="W12" s="47" t="str">
        <x:v>Design measurement and verification into one 2026-27 project, including energy baseline, bills, peak demand and comfort outcomes.</x:v>
      </x:c>
      <x:c r="X12" s="119" t="str">
        <x:f>HYPERLINK("https://eec.org.au/events/eec-award-winners-2026-draft/","Open official page")</x:f>
        <x:v>Open official page</x:v>
      </x:c>
      <x:c r="Y12" s="121" t="d">
        <x:v>2026-10-19T00:00:00.000Z</x:v>
      </x:c>
    </x:row>
    <x:row r="13" ht="96" customHeight="1">
      <x:c r="A13" s="46" t="n">
        <x:v>9</x:v>
      </x:c>
      <x:c r="B13" s="47" t="str">
        <x:v>Stretch 2027</x:v>
      </x:c>
      <x:c r="C13" s="47" t="str">
        <x:v>Likely eligible</x:v>
      </x:c>
      <x:c r="D13" s="47" t="str">
        <x:v>Banksia National Sustainability Awards</x:v>
      </x:c>
      <x:c r="E13" s="47" t="str">
        <x:v>Small to Medium Business Leadership; Business Services and Solutions; Built Environment</x:v>
      </x:c>
      <x:c r="F13" s="47" t="str">
        <x:v>Decarby</x:v>
      </x:c>
      <x:c r="G13" s="47" t="str">
        <x:v>Australia</x:v>
      </x:c>
      <x:c r="H13" s="120"/>
      <x:c r="I13" s="47" t="str">
        <x:v>Monitor from Apr 2027; closing date TBC</x:v>
      </x:c>
      <x:c r="J13" s="47" t="str">
        <x:v>2026 close was still TBA on official page</x:v>
      </x:c>
      <x:c r="K13" s="47" t="str">
        <x:v>National sustainability program aligned to the UN SDGs. Entries need measurable environmental and social outcomes, a structured submission, case study and PR assets.</x:v>
      </x:c>
      <x:c r="L13" s="47" t="str">
        <x:v>Map results to relevant SDGs; complete the structured submission; prepare a 500-word case study, short summaries, three approved high-resolution photos and entry fee.</x:v>
      </x:c>
      <x:c r="M13" s="125" t="n">
        <x:v>4</x:v>
      </x:c>
      <x:c r="N13" s="125" t="n">
        <x:v>5</x:v>
      </x:c>
      <x:c r="O13" s="125" t="n">
        <x:v>2</x:v>
      </x:c>
      <x:c r="P13" s="125" t="n">
        <x:v>1</x:v>
      </x:c>
      <x:c r="Q13" s="125" t="n">
        <x:v>5</x:v>
      </x:c>
      <x:c r="R13" s="125" t="n">
        <x:v>5</x:v>
      </x:c>
      <x:c r="S13" s="127" t="n">
        <x:f>ROUND((M13*25+N13*20+O13*15+P13*15+Q13*20+(6-R13)*5)/5,0)</x:f>
        <x:v>70</x:v>
      </x:c>
      <x:c r="T13" s="128" t="n">
        <x:f>ROUND((M13*0.30+N13*0.25+O13*0.20+P13*0.25)/5*40%,2)</x:f>
        <x:v>0.25</x:v>
      </x:c>
      <x:c r="U13" s="47" t="str">
        <x:v>$150+GST if under 5 staff; $450+GST if under 20 staff/turnover under $10m (2026 NSW fee guide; verify national fee)</x:v>
      </x:c>
      <x:c r="V13" s="47" t="str">
        <x:v>Prestigious but evidence-heavy and national. Better after Decarby has a full year of verified impact and stronger whole-of-business sustainability metrics.</x:v>
      </x:c>
      <x:c r="W13" s="47" t="str">
        <x:v>Align impact measures to relevant SDGs and build a 500-word flagship case study with approved high-resolution photos.</x:v>
      </x:c>
      <x:c r="X13" s="119" t="str">
        <x:f>HYPERLINK("https://banksiafdn.com/about-awards/","Open official page")</x:f>
        <x:v>Open official page</x:v>
      </x:c>
      <x:c r="Y13" s="121" t="d">
        <x:v>2026-10-19T00:00:00.000Z</x:v>
      </x:c>
    </x:row>
    <x:row r="14" ht="96" customHeight="1">
      <x:c r="A14" s="46" t="n">
        <x:v>10</x:v>
      </x:c>
      <x:c r="B14" s="47" t="str">
        <x:v>Stretch 2027</x:v>
      </x:c>
      <x:c r="C14" s="47" t="str">
        <x:v>Likely eligible</x:v>
      </x:c>
      <x:c r="D14" s="47" t="str">
        <x:v>Telstra Best of Business Awards</x:v>
      </x:c>
      <x:c r="E14" s="47" t="str">
        <x:v>Change</x:v>
      </x:c>
      <x:c r="F14" s="47" t="str">
        <x:v>Decarby</x:v>
      </x:c>
      <x:c r="G14" s="47" t="str">
        <x:v>Australia</x:v>
      </x:c>
      <x:c r="H14" s="120" t="d">
        <x:v>2026-08-07T00:00:00.000Z</x:v>
      </x:c>
      <x:c r="I14" s="47" t="str">
        <x:v>Expected Jul-Aug 2027</x:v>
      </x:c>
      <x:c r="J14" s="47" t="str">
        <x:v>Forecast from 2026 cycle; categories changed in 2026</x:v>
      </x:c>
      <x:c r="K14" s="47" t="str">
        <x:v>Australian small or medium business; 2026 public guidance indicated fewer than 200 staff and one category per entry. Confirm full 2027 rules.</x:v>
      </x:c>
      <x:c r="L14" s="47" t="str">
        <x:v>Choose one category; confirm workforce limit; document growth, purpose, customer impact and business outcomes; complete the staged application and verification materials.</x:v>
      </x:c>
      <x:c r="M14" s="125" t="n">
        <x:v>4</x:v>
      </x:c>
      <x:c r="N14" s="125" t="n">
        <x:v>4</x:v>
      </x:c>
      <x:c r="O14" s="125" t="n">
        <x:v>2</x:v>
      </x:c>
      <x:c r="P14" s="125" t="n">
        <x:v>1</x:v>
      </x:c>
      <x:c r="Q14" s="125" t="n">
        <x:v>5</x:v>
      </x:c>
      <x:c r="R14" s="125" t="n">
        <x:v>5</x:v>
      </x:c>
      <x:c r="S14" s="127" t="n">
        <x:f>ROUND((M14*25+N14*20+O14*15+P14*15+Q14*20+(6-R14)*5)/5,0)</x:f>
        <x:v>66</x:v>
      </x:c>
      <x:c r="T14" s="128" t="n">
        <x:f>ROUND((M14*0.30+N14*0.25+O14*0.20+P14*0.25)/5*40%,2)</x:f>
        <x:v>0.23</x:v>
      </x:c>
      <x:c r="U14" s="47" t="str">
        <x:v>No fee identified; verify</x:v>
      </x:c>
      <x:c r="V14" s="47" t="str">
        <x:v>High marketing value but extremely broad competition. Decarby needs strong growth, purpose and customer-impact proof before investing heavily.</x:v>
      </x:c>
      <x:c r="W14" s="47" t="str">
        <x:v>Use 2027 as a readiness year unless revenue growth, customer count and quantified emissions impact become exceptional by Q2.</x:v>
      </x:c>
      <x:c r="X14" s="119" t="str">
        <x:f>HYPERLINK("https://www.telstra.com.au/small-business/best-of-business-awards","Open official page")</x:f>
        <x:v>Open official page</x:v>
      </x:c>
      <x:c r="Y14" s="121" t="d">
        <x:v>2026-10-19T00:00:00.000Z</x:v>
      </x:c>
    </x:row>
    <x:row r="15" ht="96" customHeight="1">
      <x:c r="A15" s="46" t="n">
        <x:v>11</x:v>
      </x:c>
      <x:c r="B15" s="47" t="str">
        <x:v>Monitor 2027</x:v>
      </x:c>
      <x:c r="C15" s="47" t="str">
        <x:v>Likely eligible</x:v>
      </x:c>
      <x:c r="D15" s="47" t="str">
        <x:v>Australian Small Business Champion Awards</x:v>
      </x:c>
      <x:c r="E15" s="47" t="str">
        <x:v>Electrical Business; Specialised Small Business; Business Growth</x:v>
      </x:c>
      <x:c r="F15" s="47" t="str">
        <x:v>Decarby</x:v>
      </x:c>
      <x:c r="G15" s="47" t="str">
        <x:v>Australia</x:v>
      </x:c>
      <x:c r="H15" s="120" t="d">
        <x:v>2026-03-02T00:00:00.000Z</x:v>
      </x:c>
      <x:c r="I15" s="47" t="str">
        <x:v>Likely opens Nov 2026 and closes around Mar 2027</x:v>
      </x:c>
      <x:c r="J15" s="47" t="str">
        <x:v>Forecast from 2026 cycle</x:v>
      </x:c>
      <x:c r="K15" s="47" t="str">
        <x:v>Australian service business with 40 or fewer FTE and a current ABN. One industry category plus permitted optional categories; New Business is limited to under two years.</x:v>
      </x:c>
      <x:c r="L15" s="47" t="str">
        <x:v>Confirm ABN/FTE eligibility; select one industry category; complete category questions; provide a team photo, business results and supporting documents.</x:v>
      </x:c>
      <x:c r="M15" s="125" t="n">
        <x:v>4</x:v>
      </x:c>
      <x:c r="N15" s="125" t="n">
        <x:v>5</x:v>
      </x:c>
      <x:c r="O15" s="125" t="n">
        <x:v>3</x:v>
      </x:c>
      <x:c r="P15" s="125" t="n">
        <x:v>2</x:v>
      </x:c>
      <x:c r="Q15" s="125" t="n">
        <x:v>4</x:v>
      </x:c>
      <x:c r="R15" s="125" t="n">
        <x:v>3</x:v>
      </x:c>
      <x:c r="S15" s="127" t="n">
        <x:f>ROUND((M15*25+N15*20+O15*15+P15*15+Q15*20+(6-R15)*5)/5,0)</x:f>
        <x:v>74</x:v>
      </x:c>
      <x:c r="T15" s="128" t="n">
        <x:f>ROUND((M15*0.30+N15*0.25+O15*0.20+P15*0.25)/5*40%,2)</x:f>
        <x:v>0.28</x:v>
      </x:c>
      <x:c r="U15" s="47" t="str">
        <x:v>Free in 2026</x:v>
      </x:c>
      <x:c r="V15" s="47" t="str">
        <x:v>Good small-business recognition, though less solar-specific than the Trades program. Use only if the application can be largely reused.</x:v>
      </x:c>
      <x:c r="W15" s="47" t="str">
        <x:v>Monitor from Nov 2026 and reuse the Trades award evidence pack if the categories and timing remain complementary.</x:v>
      </x:c>
      <x:c r="X15" s="119" t="str">
        <x:f>HYPERLINK("https://www.championawards.com.au/business/terms-and-conditions","Open official page")</x:f>
        <x:v>Open official page</x:v>
      </x:c>
      <x:c r="Y15" s="121" t="d">
        <x:v>2026-10-19T00:00:00.000Z</x:v>
      </x:c>
    </x:row>
    <x:row r="16" ht="96" customHeight="1">
      <x:c r="A16" s="46" t="n">
        <x:v>12</x:v>
      </x:c>
      <x:c r="B16" s="47" t="str">
        <x:v>Monitor 2027</x:v>
      </x:c>
      <x:c r="C16" s="47" t="str">
        <x:v>Likely eligible</x:v>
      </x:c>
      <x:c r="D16" s="47" t="str">
        <x:v>ACT Women's Awards</x:v>
      </x:c>
      <x:c r="E16" s="47" t="str">
        <x:v>Excellence in Industry</x:v>
      </x:c>
      <x:c r="F16" s="47" t="str">
        <x:v>Nana Sashiwa</x:v>
      </x:c>
      <x:c r="G16" s="47" t="str">
        <x:v>ACT region</x:v>
      </x:c>
      <x:c r="H16" s="120" t="d">
        <x:v>2026-05-10T00:00:00.000Z</x:v>
      </x:c>
      <x:c r="I16" s="47" t="str">
        <x:v>Expected Mar-May 2027</x:v>
      </x:c>
      <x:c r="J16" s="47" t="str">
        <x:v>Forecast from 2026 cycle</x:v>
      </x:c>
      <x:c r="K16" s="47" t="str">
        <x:v>Women, gender-diverse and non-binary people in the ACT region whose achievements create lasting positive change. Self- or third-party nomination was allowed in 2026.</x:v>
      </x:c>
      <x:c r="L16" s="47" t="str">
        <x:v>Complete the nomination form; give specific examples of lasting positive change and ACT impact; include a referee and supporting evidence where permitted.</x:v>
      </x:c>
      <x:c r="M16" s="125" t="n">
        <x:v>4</x:v>
      </x:c>
      <x:c r="N16" s="125" t="n">
        <x:v>5</x:v>
      </x:c>
      <x:c r="O16" s="125" t="n">
        <x:v>2</x:v>
      </x:c>
      <x:c r="P16" s="125" t="n">
        <x:v>2</x:v>
      </x:c>
      <x:c r="Q16" s="125" t="n">
        <x:v>4</x:v>
      </x:c>
      <x:c r="R16" s="125" t="n">
        <x:v>3</x:v>
      </x:c>
      <x:c r="S16" s="127" t="n">
        <x:f>ROUND((M16*25+N16*20+O16*15+P16*15+Q16*20+(6-R16)*5)/5,0)</x:f>
        <x:v>71</x:v>
      </x:c>
      <x:c r="T16" s="128" t="n">
        <x:f>ROUND((M16*0.30+N16*0.25+O16*0.20+P16*0.25)/5*40%,2)</x:f>
        <x:v>0.27</x:v>
      </x:c>
      <x:c r="U16" s="47" t="str">
        <x:v>No fee stated</x:v>
      </x:c>
      <x:c r="V16" s="47" t="str">
        <x:v>Good local platform, but criteria emphasise lasting positive change beyond routine job performance. Stronger after Nana has a visible industry or community initiative.</x:v>
      </x:c>
      <x:c r="W16" s="47" t="str">
        <x:v>Identify a Nana-led initiative with external impact, such as consumer education, inclusion, or a partnership that improves access to clean energy.</x:v>
      </x:c>
      <x:c r="X16" s="119" t="str">
        <x:f>HYPERLINK("https://www.act.gov.au/community/honours-and-awards/act-womens-awards-and-honour-roll","Open official page")</x:f>
        <x:v>Open official page</x:v>
      </x:c>
      <x:c r="Y16" s="121" t="d">
        <x:v>2026-10-19T00:00:00.000Z</x:v>
      </x:c>
    </x:row>
    <x:row r="17" ht="96" customHeight="1">
      <x:c r="A17" s="46" t="n">
        <x:v>13</x:v>
      </x:c>
      <x:c r="B17" s="47" t="str">
        <x:v>Monitor 2027</x:v>
      </x:c>
      <x:c r="C17" s="47" t="str">
        <x:v>Not ready</x:v>
      </x:c>
      <x:c r="D17" s="47" t="str">
        <x:v>Clean Energy Council Awards</x:v>
      </x:c>
      <x:c r="E17" s="47" t="str">
        <x:v>Community Value and Impact; Equity, Inclusion and Diversity; Communications</x:v>
      </x:c>
      <x:c r="F17" s="47" t="str">
        <x:v>Decarby / partner consortium</x:v>
      </x:c>
      <x:c r="G17" s="47" t="str">
        <x:v>Australia</x:v>
      </x:c>
      <x:c r="H17" s="120"/>
      <x:c r="I17" s="47" t="str">
        <x:v>Likely Q2 2027; verify</x:v>
      </x:c>
      <x:c r="J17" s="47" t="str">
        <x:v>2027 dates not published</x:v>
      </x:c>
      <x:c r="K17" s="47" t="str">
        <x:v>Category-specific national awards for demonstrated initiatives, partnerships or campaigns in the clean-energy sector. Ordinary commercial delivery alone is unlikely to be enough.</x:v>
      </x:c>
      <x:c r="L17" s="47" t="str">
        <x:v>Enter a substantial initiative or partnership; quantify community, inclusion or communications impact; secure partner endorsements and a publishable case study.</x:v>
      </x:c>
      <x:c r="M17" s="125" t="n">
        <x:v>3</x:v>
      </x:c>
      <x:c r="N17" s="125" t="n">
        <x:v>3</x:v>
      </x:c>
      <x:c r="O17" s="125" t="n">
        <x:v>1</x:v>
      </x:c>
      <x:c r="P17" s="125" t="n">
        <x:v>1</x:v>
      </x:c>
      <x:c r="Q17" s="125" t="n">
        <x:v>5</x:v>
      </x:c>
      <x:c r="R17" s="125" t="n">
        <x:v>5</x:v>
      </x:c>
      <x:c r="S17" s="127" t="n">
        <x:f>ROUND((M17*25+N17*20+O17*15+P17*15+Q17*20+(6-R17)*5)/5,0)</x:f>
        <x:v>54</x:v>
      </x:c>
      <x:c r="T17" s="128" t="n">
        <x:f>ROUND((M17*0.30+N17*0.25+O17*0.20+P17*0.25)/5*40%,2)</x:f>
        <x:v>0.17</x:v>
      </x:c>
      <x:c r="U17" s="47" t="str">
        <x:v>TBC</x:v>
      </x:c>
      <x:c r="V17" s="47" t="str">
        <x:v>Prestigious sector award but current categories favour major community, inclusion, collaboration or communications initiatives rather than small installer performance.</x:v>
      </x:c>
      <x:c r="W17" s="47" t="str">
        <x:v>Pursue only with a substantial partner-led community or inclusion program and measurable multi-stakeholder outcomes.</x:v>
      </x:c>
      <x:c r="X17" s="119" t="str">
        <x:f>HYPERLINK("https://cleanenergycouncil.org.au/events/awards","Open official page")</x:f>
        <x:v>Open official page</x:v>
      </x:c>
      <x:c r="Y17" s="121" t="d">
        <x:v>2026-10-19T00:00:00.000Z</x:v>
      </x:c>
    </x:row>
    <x:row r="18" ht="96" customHeight="1">
      <x:c r="A18" s="46" t="n">
        <x:v>14</x:v>
      </x:c>
      <x:c r="B18" s="47" t="str">
        <x:v>Conditional</x:v>
      </x:c>
      <x:c r="C18" s="47" t="str">
        <x:v>Needs confirmation</x:v>
      </x:c>
      <x:c r="D18" s="47" t="str">
        <x:v>Australian Women's Small Business Champion Awards</x:v>
      </x:c>
      <x:c r="E18" s="47" t="str">
        <x:v>Trade Services; Professional Services; Influential Woman</x:v>
      </x:c>
      <x:c r="F18" s="47" t="str">
        <x:v>Nana / Decarby</x:v>
      </x:c>
      <x:c r="G18" s="47" t="str">
        <x:v>Australia</x:v>
      </x:c>
      <x:c r="H18" s="120" t="d">
        <x:v>2026-07-31T00:00:00.000Z</x:v>
      </x:c>
      <x:c r="I18" s="47" t="str">
        <x:v>Expected Jun-Jul 2027</x:v>
      </x:c>
      <x:c r="J18" s="47" t="str">
        <x:v>Forecast from 2026 cycle</x:v>
      </x:c>
      <x:c r="K18" s="47" t="str">
        <x:v>Business must have a woman owner or at least 50% woman ownership, operate in Australia, hold an ABN and meet employee limits. Entry was free in 2026.</x:v>
      </x:c>
      <x:c r="L18" s="47" t="str">
        <x:v>Verify at least 50% woman ownership, ABN and employee limits; complete category questions; provide team photo and supporting PDF evidence.</x:v>
      </x:c>
      <x:c r="M18" s="125" t="n">
        <x:v>4</x:v>
      </x:c>
      <x:c r="N18" s="125" t="n">
        <x:v>1</x:v>
      </x:c>
      <x:c r="O18" s="125" t="n">
        <x:v>2</x:v>
      </x:c>
      <x:c r="P18" s="125" t="n">
        <x:v>2</x:v>
      </x:c>
      <x:c r="Q18" s="125" t="n">
        <x:v>4</x:v>
      </x:c>
      <x:c r="R18" s="125" t="n">
        <x:v>3</x:v>
      </x:c>
      <x:c r="S18" s="127" t="n">
        <x:f>ROUND((M18*25+N18*20+O18*15+P18*15+Q18*20+(6-R18)*5)/5,0)</x:f>
        <x:v>55</x:v>
      </x:c>
      <x:c r="T18" s="128" t="n">
        <x:f>ROUND((M18*0.30+N18*0.25+O18*0.20+P18*0.25)/5*40%,2)</x:f>
        <x:v>0.19</x:v>
      </x:c>
      <x:c r="U18" s="47" t="str">
        <x:v>Free in 2026</x:v>
      </x:c>
      <x:c r="V18" s="47" t="str">
        <x:v>Relevant only if Decarby has at least 50% woman ownership. Nana's current public role is manager, so ownership must be confirmed before any work begins.</x:v>
      </x:c>
      <x:c r="W18" s="47" t="str">
        <x:v>Confirm company ownership. If the 50% requirement is not met, remove this award from the active pipeline.</x:v>
      </x:c>
      <x:c r="X18" s="119" t="str">
        <x:f>HYPERLINK("https://www.championawards.com.au/womens/terms-and-conditions","Open official page")</x:f>
        <x:v>Open official page</x:v>
      </x:c>
      <x:c r="Y18" s="121" t="d">
        <x:v>2026-10-19T00:00:00.000Z</x:v>
      </x:c>
    </x:row>
    <x:row r="19" ht="96" customHeight="1">
      <x:c r="A19" s="46" t="n">
        <x:v>15</x:v>
      </x:c>
      <x:c r="B19" s="47" t="str">
        <x:v>Conditional</x:v>
      </x:c>
      <x:c r="C19" s="47" t="str">
        <x:v>Needs confirmation</x:v>
      </x:c>
      <x:c r="D19" s="47" t="str">
        <x:v>AIRAH Towards Net Zero Competition</x:v>
      </x:c>
      <x:c r="E19" s="47" t="str">
        <x:v>David Norman Sustainability Award</x:v>
      </x:c>
      <x:c r="F19" s="47" t="str">
        <x:v>Ahmad Bilal or another eligible team member</x:v>
      </x:c>
      <x:c r="G19" s="47" t="str">
        <x:v>Australia</x:v>
      </x:c>
      <x:c r="H19" s="120" t="d">
        <x:v>2026-09-07T00:00:00.000Z</x:v>
      </x:c>
      <x:c r="I19" s="47" t="str">
        <x:v>If repeated: registration around Sep; staged submissions follow</x:v>
      </x:c>
      <x:c r="J19" s="47" t="str">
        <x:v>Future recurrence not confirmed</x:v>
      </x:c>
      <x:c r="K19" s="47" t="str">
        <x:v>Entrant was required to be under 35 on 1 Jul 2026 and work or study in sustainability, engineering, building services or related fields. Technical written and modelling stages; $150 fee in 2026.</x:v>
      </x:c>
      <x:c r="L19" s="47" t="str">
        <x:v>Confirm age and relevant work/study; pay registration fee; complete the entrant's own written knowledge assessment and, if advanced, building-energy simulation stage.</x:v>
      </x:c>
      <x:c r="M19" s="125" t="n">
        <x:v>5</x:v>
      </x:c>
      <x:c r="N19" s="125" t="n">
        <x:v>2</x:v>
      </x:c>
      <x:c r="O19" s="125" t="n">
        <x:v>2</x:v>
      </x:c>
      <x:c r="P19" s="125" t="n">
        <x:v>2</x:v>
      </x:c>
      <x:c r="Q19" s="125" t="n">
        <x:v>4</x:v>
      </x:c>
      <x:c r="R19" s="125" t="n">
        <x:v>5</x:v>
      </x:c>
      <x:c r="S19" s="127" t="n">
        <x:f>ROUND((M19*25+N19*20+O19*15+P19*15+Q19*20+(6-R19)*5)/5,0)</x:f>
        <x:v>62</x:v>
      </x:c>
      <x:c r="T19" s="128" t="n">
        <x:f>ROUND((M19*0.30+N19*0.25+O19*0.20+P19*0.25)/5*40%,2)</x:f>
        <x:v>0.23</x:v>
      </x:c>
      <x:c r="U19" s="47" t="str">
        <x:v>$150 in 2026</x:v>
      </x:c>
      <x:c r="V19" s="47" t="str">
        <x:v>Strong technical alignment but age, modelling capability and recurrence need confirmation. Rules prohibit AI-written submissions, so the entrant must do the competition work personally.</x:v>
      </x:c>
      <x:c r="W19" s="47" t="str">
        <x:v>Confirm candidate age and building-energy simulation experience; monitor AIRAH for a 2027 edition.</x:v>
      </x:c>
      <x:c r="X19" s="119" t="str">
        <x:f>HYPERLINK("https://awards.airah.org.au/towards-net-zero-competition/","Open official page")</x:f>
        <x:v>Open official page</x:v>
      </x:c>
      <x:c r="Y19" s="121" t="d">
        <x:v>2026-10-19T00:00:00.000Z</x:v>
      </x:c>
    </x:row>
    <x:row r="20" ht="96" customHeight="1">
      <x:c r="A20" s="46" t="n">
        <x:v>16</x:v>
      </x:c>
      <x:c r="B20" s="47" t="str">
        <x:v>Conditional</x:v>
      </x:c>
      <x:c r="C20" s="47" t="str">
        <x:v>Not ready</x:v>
      </x:c>
      <x:c r="D20" s="47" t="str">
        <x:v>ACT Multicultural Awards</x:v>
      </x:c>
      <x:c r="E20" s="47" t="str">
        <x:v>Outstanding Excellence Award for Diversity and Inclusion</x:v>
      </x:c>
      <x:c r="F20" s="47" t="str">
        <x:v>Decarby / team initiative</x:v>
      </x:c>
      <x:c r="G20" s="47" t="str">
        <x:v>ACT / Canberra region</x:v>
      </x:c>
      <x:c r="H20" s="120"/>
      <x:c r="I20" s="47" t="str">
        <x:v>Monitor ACT awards calendar in 2027</x:v>
      </x:c>
      <x:c r="J20" s="47" t="str">
        <x:v>2027 date not published</x:v>
      </x:c>
      <x:c r="K20" s="47" t="str">
        <x:v>ACT or Canberra-region nominee. The 2026 category focused on people in the community sector supporting cultural diversity and inclusion.</x:v>
      </x:c>
      <x:c r="L20" s="47" t="str">
        <x:v>Show an ACT/Canberra community-sector initiative with sustained multicultural inclusion outcomes, beneficiary evidence and credible partner or community support.</x:v>
      </x:c>
      <x:c r="M20" s="125" t="n">
        <x:v>2</x:v>
      </x:c>
      <x:c r="N20" s="125" t="n">
        <x:v>2</x:v>
      </x:c>
      <x:c r="O20" s="125" t="n">
        <x:v>1</x:v>
      </x:c>
      <x:c r="P20" s="125" t="n">
        <x:v>1</x:v>
      </x:c>
      <x:c r="Q20" s="125" t="n">
        <x:v>3</x:v>
      </x:c>
      <x:c r="R20" s="125" t="n">
        <x:v>3</x:v>
      </x:c>
      <x:c r="S20" s="127" t="n">
        <x:f>ROUND((M20*25+N20*20+O20*15+P20*15+Q20*20+(6-R20)*5)/5,0)</x:f>
        <x:v>39</x:v>
      </x:c>
      <x:c r="T20" s="128" t="n">
        <x:f>ROUND((M20*0.30+N20*0.25+O20*0.20+P20*0.25)/5*40%,2)</x:f>
        <x:v>0.12</x:v>
      </x:c>
      <x:c r="U20" s="47" t="str">
        <x:v>No fee stated</x:v>
      </x:c>
      <x:c r="V20" s="47" t="str">
        <x:v>Team diversity alone is insufficient. A sustained community-facing program with measurable multicultural inclusion outcomes would be needed.</x:v>
      </x:c>
      <x:c r="W20" s="47" t="str">
        <x:v>Do not apply unless Decarby creates or partners on a genuine community inclusion initiative with evidence of benefit.</x:v>
      </x:c>
      <x:c r="X20" s="119" t="str">
        <x:f>HYPERLINK("https://www.act.gov.au/community/honours-and-awards/multicultural-awards","Open official page")</x:f>
        <x:v>Open official page</x:v>
      </x:c>
      <x:c r="Y20" s="121" t="d">
        <x:v>2026-10-19T00:00:00.000Z</x:v>
      </x:c>
    </x:row>
    <x:row r="21" ht="96" customHeight="1">
      <x:c r="A21" s="46" t="n">
        <x:v>17</x:v>
      </x:c>
      <x:c r="B21" s="47" t="str">
        <x:v>Conditional</x:v>
      </x:c>
      <x:c r="C21" s="47" t="str">
        <x:v>Needs confirmation</x:v>
      </x:c>
      <x:c r="D21" s="47" t="str">
        <x:v>AusMumpreneur Awards</x:v>
      </x:c>
      <x:c r="E21" s="47" t="str">
        <x:v>Service Business; Sustainability-related category; Business Excellence</x:v>
      </x:c>
      <x:c r="F21" s="47" t="str">
        <x:v>Nana Sashiwa</x:v>
      </x:c>
      <x:c r="G21" s="47" t="str">
        <x:v>Australia / New Zealand</x:v>
      </x:c>
      <x:c r="H21" s="120" t="d">
        <x:v>2026-07-10T00:00:00.000Z</x:v>
      </x:c>
      <x:c r="I21" s="47" t="str">
        <x:v>Expected nomination by early Jul; application later in Jul</x:v>
      </x:c>
      <x:c r="J21" s="47" t="str">
        <x:v>Forecast from 2026 cycle</x:v>
      </x:c>
      <x:c r="K21" s="47" t="str">
        <x:v>Entrant must be an Australian or New Zealand mother who owns a business, nonprofit or blog. Paid categories started at $150 in 2026.</x:v>
      </x:c>
      <x:c r="L21" s="47" t="str">
        <x:v>Privately confirm parent and ownership status; select and pay for category; complete application questions and prepare required links, banners and media assets.</x:v>
      </x:c>
      <x:c r="M21" s="125" t="n">
        <x:v>3</x:v>
      </x:c>
      <x:c r="N21" s="125" t="n">
        <x:v>1</x:v>
      </x:c>
      <x:c r="O21" s="125" t="n">
        <x:v>2</x:v>
      </x:c>
      <x:c r="P21" s="125" t="n">
        <x:v>2</x:v>
      </x:c>
      <x:c r="Q21" s="125" t="n">
        <x:v>3</x:v>
      </x:c>
      <x:c r="R21" s="125" t="n">
        <x:v>3</x:v>
      </x:c>
      <x:c r="S21" s="127" t="n">
        <x:f>ROUND((M21*25+N21*20+O21*15+P21*15+Q21*20+(6-R21)*5)/5,0)</x:f>
        <x:v>46</x:v>
      </x:c>
      <x:c r="T21" s="128" t="n">
        <x:f>ROUND((M21*0.30+N21*0.25+O21*0.20+P21*0.25)/5*40%,2)</x:f>
        <x:v>0.16</x:v>
      </x:c>
      <x:c r="U21" s="47" t="str">
        <x:v>From $150 in 2026</x:v>
      </x:c>
      <x:c r="V21" s="47" t="str">
        <x:v>Only relevant if Nana is both a mother and an owner of Decarby or another eligible business. Do not assume either fact.</x:v>
      </x:c>
      <x:c r="W21" s="47" t="str">
        <x:v>Confirm personal and ownership eligibility privately before retaining this in the pipeline.</x:v>
      </x:c>
      <x:c r="X21" s="119" t="str">
        <x:f>HYPERLINK("https://ausmumpreneur.com/entry/","Open official page")</x:f>
        <x:v>Open official page</x:v>
      </x:c>
      <x:c r="Y21" s="121" t="d">
        <x:v>2026-10-19T00:00:00.000Z</x:v>
      </x:c>
    </x:row>
    <x:row r="22" ht="96" customHeight="1">
      <x:c r="A22" s="46" t="n">
        <x:v>18</x:v>
      </x:c>
      <x:c r="B22" s="47" t="str">
        <x:v>Conditional</x:v>
      </x:c>
      <x:c r="C22" s="47" t="str">
        <x:v>Needs confirmation</x:v>
      </x:c>
      <x:c r="D22" s="47" t="str">
        <x:v>Australian Ladies in Business Initiative Awards</x:v>
      </x:c>
      <x:c r="E22" s="47" t="str">
        <x:v>Earth Keeper; Professional Service; Social Change Maker</x:v>
      </x:c>
      <x:c r="F22" s="47" t="str">
        <x:v>Nana Sashiwa</x:v>
      </x:c>
      <x:c r="G22" s="47" t="str">
        <x:v>Australia</x:v>
      </x:c>
      <x:c r="H22" s="120" t="d">
        <x:v>2026-08-03T00:00:00.000Z</x:v>
      </x:c>
      <x:c r="I22" s="47" t="str">
        <x:v>Expected Jun-Aug 2027</x:v>
      </x:c>
      <x:c r="J22" s="47" t="str">
        <x:v>Forecast from 2026 cycle</x:v>
      </x:c>
      <x:c r="K22" s="47" t="str">
        <x:v>Open to Australian women in business; 2026 rules required an Australian business with ABN and membership of the organiser's free online Facebook group.</x:v>
      </x:c>
      <x:c r="L22" s="47" t="str">
        <x:v>Confirm Nana personally meets business/ABN rules; join the required online group; pay per category; submit separate category responses and evidence.</x:v>
      </x:c>
      <x:c r="M22" s="125" t="n">
        <x:v>3</x:v>
      </x:c>
      <x:c r="N22" s="125" t="n">
        <x:v>2</x:v>
      </x:c>
      <x:c r="O22" s="125" t="n">
        <x:v>2</x:v>
      </x:c>
      <x:c r="P22" s="125" t="n">
        <x:v>3</x:v>
      </x:c>
      <x:c r="Q22" s="125" t="n">
        <x:v>2</x:v>
      </x:c>
      <x:c r="R22" s="125" t="n">
        <x:v>2</x:v>
      </x:c>
      <x:c r="S22" s="127" t="n">
        <x:f>ROUND((M22*25+N22*20+O22*15+P22*15+Q22*20+(6-R22)*5)/5,0)</x:f>
        <x:v>50</x:v>
      </x:c>
      <x:c r="T22" s="128" t="n">
        <x:f>ROUND((M22*0.30+N22*0.25+O22*0.20+P22*0.25)/5*40%,2)</x:f>
        <x:v>0.2</x:v>
      </x:c>
      <x:c r="U22" s="47" t="str">
        <x:v>$99 per category in 2026</x:v>
      </x:c>
      <x:c r="V22" s="47" t="str">
        <x:v>Lower strategic prestige than the local CWB and national Women in Industry programs. Consider only if Nana personally meets the business/ABN rules and capacity remains.</x:v>
      </x:c>
      <x:c r="W22" s="47" t="str">
        <x:v>Keep as a backup; prioritise CWB and Women in Industry first.</x:v>
      </x:c>
      <x:c r="X22" s="119" t="str">
        <x:f>HYPERLINK("https://alibiawards.com.au/entry-requirements/","Open official page")</x:f>
        <x:v>Open official page</x:v>
      </x:c>
      <x:c r="Y22" s="121" t="d">
        <x:v>2026-10-19T00:00:00.000Z</x:v>
      </x:c>
    </x:row>
    <x:row r="23" ht="96" customHeight="1">
      <x:c r="A23" s="50" t="n">
        <x:v>19</x:v>
      </x:c>
      <x:c r="B23" s="51" t="str">
        <x:v>Conditional</x:v>
      </x:c>
      <x:c r="C23" s="51" t="str">
        <x:v>Needs confirmation</x:v>
      </x:c>
      <x:c r="D23" s="51" t="str">
        <x:v>Engineers Australia Excellence Awards</x:v>
      </x:c>
      <x:c r="E23" s="51" t="str">
        <x:v>Professional or Emerging Professional Engineer of the Year</x:v>
      </x:c>
      <x:c r="F23" s="51" t="str">
        <x:v>Ahmad Bilal</x:v>
      </x:c>
      <x:c r="G23" s="51" t="str">
        <x:v>Australia; local-to-national pathway</x:v>
      </x:c>
      <x:c r="H23" s="122" t="d">
        <x:v>2026-07-01T00:00:00.000Z</x:v>
      </x:c>
      <x:c r="I23" s="51" t="str">
        <x:v>Expected 1 Apr-1 Jul 2027</x:v>
      </x:c>
      <x:c r="J23" s="51" t="str">
        <x:v>Forecast from 2025-2026 pattern</x:v>
      </x:c>
      <x:c r="K23" s="51" t="str">
        <x:v>Engineers Australia or engineering-community membership is required. Emerging category is limited to age 35 or under at the awards date.</x:v>
      </x:c>
      <x:c r="L23" s="51" t="str">
        <x:v>Confirm membership and age/category; prepare four criterion responses, a 2-3 page CV, short bio, portrait, pronunciation audio and referee details.</x:v>
      </x:c>
      <x:c r="M23" s="126" t="n">
        <x:v>4</x:v>
      </x:c>
      <x:c r="N23" s="126" t="n">
        <x:v>2</x:v>
      </x:c>
      <x:c r="O23" s="126" t="n">
        <x:v>1</x:v>
      </x:c>
      <x:c r="P23" s="126" t="n">
        <x:v>1</x:v>
      </x:c>
      <x:c r="Q23" s="126" t="n">
        <x:v>4</x:v>
      </x:c>
      <x:c r="R23" s="126" t="n">
        <x:v>4</x:v>
      </x:c>
      <x:c r="S23" s="129" t="n">
        <x:f>ROUND((M23*25+N23*20+O23*15+P23*15+Q23*20+(6-R23)*5)/5,0)</x:f>
        <x:v>52</x:v>
      </x:c>
      <x:c r="T23" s="130" t="n">
        <x:f>ROUND((M23*0.30+N23*0.25+O23*0.20+P23*0.25)/5*40%,2)</x:f>
        <x:v>0.17</x:v>
      </x:c>
      <x:c r="U23" s="51" t="str">
        <x:v>No fee stated</x:v>
      </x:c>
      <x:c r="V23" s="51" t="str">
        <x:v>Potentially relevant, but Ahmad's membership, credentials, age, role and evidence are not available in the project brief.</x:v>
      </x:c>
      <x:c r="W23" s="51" t="str">
        <x:v>Confirm Ahmad's full name, role, EA membership, credentials, age and strongest quantified engineering achievements.</x:v>
      </x:c>
      <x:c r="X23" s="123" t="str">
        <x:f>HYPERLINK("https://www.engineersaustralia.org.au/publications/excellence-awards-2026-people-awards-entry-handbook","Open official page")</x:f>
        <x:v>Open official page</x:v>
      </x:c>
      <x:c r="Y23" s="124" t="d">
        <x:v>2026-10-19T00:00:00.000Z</x:v>
      </x:c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</x:sheetData>
  <x:mergeCells>
    <x:mergeCell ref="A2:Y2"/>
    <x:mergeCell ref="A3:Y3"/>
  </x:mergeCells>
  <x:conditionalFormatting sqref="B5:B23">
    <x:cfRule type="containsText" dxfId="0" priority="1" operator="containsText" text="Target 2027"/>
    <x:cfRule type="containsText" dxfId="1" priority="2" operator="containsText" text="Stretch 2027"/>
    <x:cfRule type="containsText" dxfId="2" priority="3" operator="containsText" text="Conditional"/>
  </x:conditionalFormatting>
  <x:conditionalFormatting sqref="C5:C23">
    <x:cfRule type="containsText" dxfId="3" priority="4" operator="containsText" text="Likely eligible"/>
    <x:cfRule type="containsText" dxfId="4" priority="5" operator="containsText" text="Needs confirmation"/>
    <x:cfRule type="containsText" dxfId="5" priority="6" operator="containsText" text="Not ready"/>
  </x:conditionalFormatting>
  <x:conditionalFormatting sqref="S5:S23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5:T23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4a7f9ec3-cfe5-479e-ad9f-c5ba550d135b</x14:id>
        </x:ext>
      </x:extLst>
    </x:cfRule>
  </x:conditionalFormatting>
  <x:dataValidations count="3">
    <x:dataValidation type="whole" operator="between" sqref="M5:R23">
      <x:formula1>1</x:formula1>
      <x:formula2>5</x:formula2>
    </x:dataValidation>
    <x:dataValidation type="list" sqref="B5:B23">
      <x:formula1>"Target 2027,Stretch 2027,Monitor 2027,Conditional"</x:formula1>
    </x:dataValidation>
    <x:dataValidation type="list" sqref="C5:C23">
      <x:formula1>"Likely eligible,Needs confirmation,Not 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cc84bc88294b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4a7f9ec3-cfe5-479e-ad9f-c5ba550d135b">
            <x14:dataBar gradient="1">
              <x14:cfvo type="min"/>
              <x14:cfvo type="max"/>
              <x14:fillColor rgb="FF5B9BD5"/>
            </x14:dataBar>
          </x14:cfRule>
          <xm:sqref>T5:T23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18" hidden="0" customWidth="1"/>
    <x:col min="5" max="5" width="15" hidden="0" customWidth="1"/>
    <x:col min="6" max="6" width="14" hidden="0" customWidth="1"/>
    <x:col min="7" max="7" width="42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8" customHeight="1">
      <x:c r="A2" s="2" t="str">
        <x:v>Evidence plan for 2027 applications</x:v>
      </x:c>
      <x:c r="B2" s="2"/>
      <x:c r="C2" s="2"/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2" customHeight="1">
      <x:c r="A3" s="3" t="str">
        <x:v>Build the proof once, verify it, then tailor the narrative to each award. Dates below are internal preparation deadlines.</x:v>
      </x:c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6" customHeight="1">
      <x:c r="A5" s="34" t="str">
        <x:v>Evidence area</x:v>
      </x:c>
      <x:c r="B5" s="35" t="str">
        <x:v>Deliverable</x:v>
      </x:c>
      <x:c r="C5" s="35" t="str">
        <x:v>What to capture</x:v>
      </x:c>
      <x:c r="D5" s="35" t="str">
        <x:v>Owner</x:v>
      </x:c>
      <x:c r="E5" s="35" t="str">
        <x:v>Internal due</x:v>
      </x:c>
      <x:c r="F5" s="35" t="str">
        <x:v>Status</x:v>
      </x:c>
      <x:c r="G5" s="36" t="str">
        <x:v>Why it matters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55" customHeight="1">
      <x:c r="A6" s="47" t="str">
        <x:v>Eligibility</x:v>
      </x:c>
      <x:c r="B6" s="47" t="str">
        <x:v>Company profile</x:v>
      </x:c>
      <x:c r="C6" s="47" t="str">
        <x:v>ABN, incorporation date, ownership percentages, FTE count, locations and service areas</x:v>
      </x:c>
      <x:c r="D6" s="47" t="str">
        <x:v>Nana</x:v>
      </x:c>
      <x:c r="E6" s="131" t="d">
        <x:v>2026-11-13T00:00:00.000Z</x:v>
      </x:c>
      <x:c r="F6" s="132" t="str">
        <x:v>Not started</x:v>
      </x:c>
      <x:c r="G6" s="47" t="str">
        <x:v>Unlocks small-business, women-owned and new-business eligibility checks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55" customHeight="1">
      <x:c r="A7" s="47" t="str">
        <x:v>Eligibility</x:v>
      </x:c>
      <x:c r="B7" s="47" t="str">
        <x:v>Individual profiles</x:v>
      </x:c>
      <x:c r="C7" s="47" t="str">
        <x:v>Age, role, employment dates, memberships, licences, CPEng/NER/SAA/AIRAH details for each candidate</x:v>
      </x:c>
      <x:c r="D7" s="47" t="str">
        <x:v>Each candidate</x:v>
      </x:c>
      <x:c r="E7" s="131" t="d">
        <x:v>2026-11-13T00:00:00.000Z</x:v>
      </x:c>
      <x:c r="F7" s="132" t="str">
        <x:v>Not started</x:v>
      </x:c>
      <x:c r="G7" s="47" t="str">
        <x:v>Needed before assigning individual categories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55" customHeight="1">
      <x:c r="A8" s="47" t="str">
        <x:v>Business results</x:v>
      </x:c>
      <x:c r="B8" s="47" t="str">
        <x:v>Growth scorecard</x:v>
      </x:c>
      <x:c r="C8" s="47" t="str">
        <x:v>Monthly revenue growth, sales pipeline, new clients, conversion rate, repeat/referral share and staff growth</x:v>
      </x:c>
      <x:c r="D8" s="47" t="str">
        <x:v>Nana</x:v>
      </x:c>
      <x:c r="E8" s="131" t="d">
        <x:v>2026-11-30T00:00:00.000Z</x:v>
      </x:c>
      <x:c r="F8" s="132" t="str">
        <x:v>Not started</x:v>
      </x:c>
      <x:c r="G8" s="47" t="str">
        <x:v>Core evidence for Nana, Telstra and small-business awards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55" customHeight="1">
      <x:c r="A9" s="47" t="str">
        <x:v>Customer impact</x:v>
      </x:c>
      <x:c r="B9" s="47" t="str">
        <x:v>Impact register</x:v>
      </x:c>
      <x:c r="C9" s="47" t="str">
        <x:v>For each completed project: kW solar, kWh storage, annual kWh saved/generated, bill savings, peak reduction and estimated tCO2-e</x:v>
      </x:c>
      <x:c r="D9" s="47" t="str">
        <x:v>Bilal / Ahmad</x:v>
      </x:c>
      <x:c r="E9" s="131" t="d">
        <x:v>2026-12-15T00:00:00.000Z</x:v>
      </x:c>
      <x:c r="F9" s="132" t="str">
        <x:v>Not started</x:v>
      </x:c>
      <x:c r="G9" s="47" t="str">
        <x:v>Use consistent calculation method and keep supporting bills or model files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55" customHeight="1">
      <x:c r="A10" s="47" t="str">
        <x:v>Case studies</x:v>
      </x:c>
      <x:c r="B10" s="47" t="str">
        <x:v>Three flagship projects</x:v>
      </x:c>
      <x:c r="C10" s="47" t="str">
        <x:v>One residential whole-home electrification, one commercial project and one technically complex retrofit</x:v>
      </x:c>
      <x:c r="D10" s="47" t="str">
        <x:v>Bilal</x:v>
      </x:c>
      <x:c r="E10" s="131" t="d">
        <x:v>2027-01-31T00:00:00.000Z</x:v>
      </x:c>
      <x:c r="F10" s="132" t="str">
        <x:v>Not started</x:v>
      </x:c>
      <x:c r="G10" s="47" t="str">
        <x:v>Include problem, Decarby's decisions, complexity, quantified outcomes and photos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55" customHeight="1">
      <x:c r="A11" s="47" t="str">
        <x:v>Customer proof</x:v>
      </x:c>
      <x:c r="B11" s="47" t="str">
        <x:v>Testimonials and permissions</x:v>
      </x:c>
      <x:c r="C11" s="47" t="str">
        <x:v>Named testimonials, review links, client reference contacts and written permission to publish project details/photos</x:v>
      </x:c>
      <x:c r="D11" s="47" t="str">
        <x:v>Nana</x:v>
      </x:c>
      <x:c r="E11" s="131" t="d">
        <x:v>2027-01-31T00:00:00.000Z</x:v>
      </x:c>
      <x:c r="F11" s="132" t="str">
        <x:v>Not started</x:v>
      </x:c>
      <x:c r="G11" s="47" t="str">
        <x:v>Avoid confidential claims that cannot be published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55" customHeight="1">
      <x:c r="A12" s="47" t="str">
        <x:v>Quality</x:v>
      </x:c>
      <x:c r="B12" s="47" t="str">
        <x:v>Delivery performance</x:v>
      </x:c>
      <x:c r="C12" s="47" t="str">
        <x:v>Install volume, on-time completion, defects, rework, callbacks, safety incidents and warranty response time</x:v>
      </x:c>
      <x:c r="D12" s="47" t="str">
        <x:v>Operations</x:v>
      </x:c>
      <x:c r="E12" s="131" t="d">
        <x:v>2027-02-15T00:00:00.000Z</x:v>
      </x:c>
      <x:c r="F12" s="132" t="str">
        <x:v>Not started</x:v>
      </x:c>
      <x:c r="G12" s="47" t="str">
        <x:v>Strong differentiator for installer and business awards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55" customHeight="1">
      <x:c r="A13" s="47" t="str">
        <x:v>Engineering</x:v>
      </x:c>
      <x:c r="B13" s="47" t="str">
        <x:v>Bilal achievement map</x:v>
      </x:c>
      <x:c r="C13" s="47" t="str">
        <x:v>Three achievements mapped to EA impact, judgement, ethical stewardship and professional influence criteria</x:v>
      </x:c>
      <x:c r="D13" s="47" t="str">
        <x:v>Bilal</x:v>
      </x:c>
      <x:c r="E13" s="131" t="d">
        <x:v>2027-02-28T00:00:00.000Z</x:v>
      </x:c>
      <x:c r="F13" s="132" t="str">
        <x:v>Not started</x:v>
      </x:c>
      <x:c r="G13" s="47" t="str">
        <x:v>Use measurable outcomes and third-party proof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55" customHeight="1">
      <x:c r="A14" s="47" t="str">
        <x:v>Diversity</x:v>
      </x:c>
      <x:c r="B14" s="47" t="str">
        <x:v>Inclusion evidence</x:v>
      </x:c>
      <x:c r="C14" s="47" t="str">
        <x:v>Workforce profile, hiring pathways, mentoring, inclusive policies, supplier diversity and outcomes</x:v>
      </x:c>
      <x:c r="D14" s="47" t="str">
        <x:v>Nana</x:v>
      </x:c>
      <x:c r="E14" s="131" t="d">
        <x:v>2027-03-15T00:00:00.000Z</x:v>
      </x:c>
      <x:c r="F14" s="132" t="str">
        <x:v>Not started</x:v>
      </x:c>
      <x:c r="G14" s="47" t="str">
        <x:v>Do not claim diversity impact without a program and measured results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55" customHeight="1">
      <x:c r="A15" s="47" t="str">
        <x:v>Sustainability</x:v>
      </x:c>
      <x:c r="B15" s="47" t="str">
        <x:v>Decarby operations baseline</x:v>
      </x:c>
      <x:c r="C15" s="47" t="str">
        <x:v>Office electricity, fleet, travel, waste, procurement and improvement targets</x:v>
      </x:c>
      <x:c r="D15" s="47" t="str">
        <x:v>Nana</x:v>
      </x:c>
      <x:c r="E15" s="131" t="d">
        <x:v>2027-03-31T00:00:00.000Z</x:v>
      </x:c>
      <x:c r="F15" s="132" t="str">
        <x:v>Not started</x:v>
      </x:c>
      <x:c r="G15" s="47" t="str">
        <x:v>Needed for whole-of-business sustainability categories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55" customHeight="1">
      <x:c r="A16" s="47" t="str">
        <x:v>Community</x:v>
      </x:c>
      <x:c r="B16" s="47" t="str">
        <x:v>Education and access initiative</x:v>
      </x:c>
      <x:c r="C16" s="47" t="str">
        <x:v>Document workshops, consumer education, partnerships, pro bono work or equitable clean-energy access</x:v>
      </x:c>
      <x:c r="D16" s="47" t="str">
        <x:v>Team</x:v>
      </x:c>
      <x:c r="E16" s="131" t="d">
        <x:v>2027-04-30T00:00:00.000Z</x:v>
      </x:c>
      <x:c r="F16" s="132" t="str">
        <x:v>Not started</x:v>
      </x:c>
      <x:c r="G16" s="47" t="str">
        <x:v>Supports ACT Women, CEC, Banksia and diversity categories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55" customHeight="1">
      <x:c r="A17" s="47" t="str">
        <x:v>External proof</x:v>
      </x:c>
      <x:c r="B17" s="47" t="str">
        <x:v>Referees and endorsements</x:v>
      </x:c>
      <x:c r="C17" s="47" t="str">
        <x:v>At least three clients/partners plus one industry referee; capture titles, contact details and approved statements</x:v>
      </x:c>
      <x:c r="D17" s="47" t="str">
        <x:v>Nana</x:v>
      </x:c>
      <x:c r="E17" s="131" t="d">
        <x:v>2027-05-15T00:00:00.000Z</x:v>
      </x:c>
      <x:c r="F17" s="132" t="str">
        <x:v>Not started</x:v>
      </x:c>
      <x:c r="G17" s="47" t="str">
        <x:v>Prioritise independent and senior referees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 ht="55" customHeight="1">
      <x:c r="A18" s="47" t="str">
        <x:v>Media assets</x:v>
      </x:c>
      <x:c r="B18" s="47" t="str">
        <x:v>Awards asset pack</x:v>
      </x:c>
      <x:c r="C18" s="47" t="str">
        <x:v>100-word bios, company boilerplate, team and portrait photos, project images, logos and name-pronunciation audio</x:v>
      </x:c>
      <x:c r="D18" s="47" t="str">
        <x:v>Marketing</x:v>
      </x:c>
      <x:c r="E18" s="131" t="d">
        <x:v>2027-05-31T00:00:00.000Z</x:v>
      </x:c>
      <x:c r="F18" s="132" t="str">
        <x:v>Not started</x:v>
      </x:c>
      <x:c r="G18" s="47" t="str">
        <x:v>Reuse across applications; keep current consent records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55" customHeight="1">
      <x:c r="A19" s="51" t="str">
        <x:v>Governance</x:v>
      </x:c>
      <x:c r="B19" s="51" t="str">
        <x:v>Claims register</x:v>
      </x:c>
      <x:c r="C19" s="51" t="str">
        <x:v>Every quantitative claim linked to a source file, owner, reporting period and approval status</x:v>
      </x:c>
      <x:c r="D19" s="51" t="str">
        <x:v>Nana</x:v>
      </x:c>
      <x:c r="E19" s="133" t="d">
        <x:v>2027-06-15T00:00:00.000Z</x:v>
      </x:c>
      <x:c r="F19" s="134" t="str">
        <x:v>Not started</x:v>
      </x:c>
      <x:c r="G19" s="51" t="str">
        <x:v>Prevents inconsistent claims across applications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18" customHeight="1">
      <x:c r="A23" s="66" t="str">
        <x:v>Submission quality gate</x:v>
      </x:c>
      <x:c r="B23" s="66"/>
      <x:c r="C23" s="66"/>
      <x:c r="D23" s="66"/>
      <x:c r="E23" s="66"/>
      <x:c r="F23" s="66"/>
      <x:c r="G23" s="66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18" customHeight="1">
      <x:c r="A24" s="71" t="str">
        <x:v>1</x:v>
      </x:c>
      <x:c r="B24" s="44" t="str">
        <x:v>Eligibility confirmed</x:v>
      </x:c>
      <x:c r="C24" s="44" t="str">
        <x:v>Candidate and company meet every published rule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18" customHeight="1">
      <x:c r="A25" s="71" t="str">
        <x:v>2</x:v>
      </x:c>
      <x:c r="B25" s="44" t="str">
        <x:v>Three quantified outcomes</x:v>
      </x:c>
      <x:c r="C25" s="44" t="str">
        <x:v>At least three results with source files and reporting periods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18" customHeight="1">
      <x:c r="A26" s="71" t="str">
        <x:v>3</x:v>
      </x:c>
      <x:c r="B26" s="44" t="str">
        <x:v>Two independent proof points</x:v>
      </x:c>
      <x:c r="C26" s="44" t="str">
        <x:v>Client, partner, certification, media or referee evidence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18" customHeight="1">
      <x:c r="A27" s="71" t="str">
        <x:v>4</x:v>
      </x:c>
      <x:c r="B27" s="44" t="str">
        <x:v>Category-specific story</x:v>
      </x:c>
      <x:c r="C27" s="44" t="str">
        <x:v>Clear problem, Decarby's distinctive role, complexity, action and lasting result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18" customHeight="1">
      <x:c r="A28" s="135" t="str">
        <x:v>5</x:v>
      </x:c>
      <x:c r="B28" s="45" t="str">
        <x:v>Publication approval</x:v>
      </x:c>
      <x:c r="C28" s="45" t="str">
        <x:v>All names, photos, figures and confidential material cleared before submission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</x:sheetData>
  <x:mergeCells>
    <x:mergeCell ref="A2:G2"/>
    <x:mergeCell ref="A3:G3"/>
    <x:mergeCell ref="A23:G23"/>
  </x:mergeCells>
  <x:conditionalFormatting sqref="F6:F19">
    <x:cfRule type="containsText" dxfId="6" priority="1" operator="containsText" text="Complete"/>
    <x:cfRule type="containsText" dxfId="7" priority="2" operator="containsText" text="Blocked"/>
  </x:conditionalFormatting>
  <x:dataValidations count="1">
    <x:dataValidation type="list" sqref="F6:F19">
      <x:formula1>"Not started,In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0ad2450644c70"/>
  </x:tableParts>
</x:worksheet>
</file>